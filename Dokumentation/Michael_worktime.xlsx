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88C52D36-5222-48C3-96D9-241724387A16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Begleitprotokoll" sheetId="1" r:id="rId1"/>
    <sheet name="Betreuungsprotokoll" sheetId="3" r:id="rId2"/>
    <sheet name="Wochenstunden" sheetId="2" r:id="rId3"/>
  </sheets>
  <definedNames>
    <definedName name="A0">Begleitprotokoll!$A$1:$H$4</definedName>
    <definedName name="_xlnm.Print_Area" localSheetId="0">Begleitprotokoll!$A$1:$H$30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G9" i="1"/>
  <c r="F9" i="1" s="1"/>
  <c r="G13" i="1"/>
  <c r="F13" i="1" s="1"/>
  <c r="G17" i="1"/>
  <c r="F17" i="1" s="1"/>
  <c r="G21" i="1"/>
  <c r="F21" i="1" s="1"/>
  <c r="G25" i="1"/>
  <c r="F25" i="1" s="1"/>
  <c r="G29" i="1"/>
  <c r="F29" i="1" s="1"/>
  <c r="G33" i="1"/>
  <c r="F33" i="1" s="1"/>
  <c r="G37" i="1"/>
  <c r="F37" i="1" s="1"/>
  <c r="G41" i="1"/>
  <c r="F41" i="1" s="1"/>
  <c r="G45" i="1"/>
  <c r="F45" i="1" s="1"/>
  <c r="G49" i="1"/>
  <c r="F49" i="1" s="1"/>
  <c r="G53" i="1"/>
  <c r="F53" i="1" s="1"/>
  <c r="G57" i="1"/>
  <c r="F57" i="1" s="1"/>
  <c r="G61" i="1"/>
  <c r="F61" i="1" s="1"/>
  <c r="G65" i="1"/>
  <c r="F65" i="1" s="1"/>
  <c r="G69" i="1"/>
  <c r="F69" i="1" s="1"/>
  <c r="G73" i="1"/>
  <c r="F73" i="1"/>
  <c r="G77" i="1"/>
  <c r="F77" i="1"/>
  <c r="G81" i="1"/>
  <c r="F81" i="1"/>
  <c r="G85" i="1"/>
  <c r="F85" i="1" s="1"/>
  <c r="G89" i="1"/>
  <c r="F89" i="1" s="1"/>
  <c r="G93" i="1"/>
  <c r="F93" i="1" s="1"/>
  <c r="G97" i="1"/>
  <c r="F97" i="1" s="1"/>
  <c r="G101" i="1"/>
  <c r="F101" i="1"/>
  <c r="G105" i="1"/>
  <c r="F105" i="1"/>
  <c r="G109" i="1"/>
  <c r="F109" i="1" s="1"/>
  <c r="G113" i="1"/>
  <c r="F113" i="1" s="1"/>
  <c r="G117" i="1"/>
  <c r="F117" i="1" s="1"/>
  <c r="G121" i="1"/>
  <c r="F121" i="1" s="1"/>
  <c r="G125" i="1"/>
  <c r="F125" i="1"/>
  <c r="G129" i="1"/>
  <c r="F129" i="1"/>
  <c r="G133" i="1"/>
  <c r="F133" i="1" s="1"/>
  <c r="G137" i="1"/>
  <c r="F137" i="1" s="1"/>
  <c r="G141" i="1"/>
  <c r="F141" i="1" s="1"/>
  <c r="G145" i="1"/>
  <c r="F145" i="1" s="1"/>
  <c r="G149" i="1"/>
  <c r="F149" i="1" s="1"/>
  <c r="G153" i="1"/>
  <c r="F153" i="1"/>
  <c r="G157" i="1"/>
  <c r="F157" i="1" s="1"/>
  <c r="G161" i="1"/>
  <c r="F161" i="1" s="1"/>
  <c r="G165" i="1"/>
  <c r="F165" i="1" s="1"/>
  <c r="G169" i="1"/>
  <c r="F169" i="1" s="1"/>
  <c r="G173" i="1"/>
  <c r="F173" i="1" s="1"/>
  <c r="G177" i="1"/>
  <c r="F177" i="1"/>
  <c r="G181" i="1"/>
  <c r="F181" i="1" s="1"/>
  <c r="G185" i="1"/>
  <c r="F185" i="1" s="1"/>
  <c r="G189" i="1"/>
  <c r="F189" i="1" s="1"/>
  <c r="G193" i="1"/>
  <c r="F193" i="1" s="1"/>
  <c r="G197" i="1"/>
  <c r="F197" i="1" s="1"/>
  <c r="G201" i="1"/>
  <c r="F201" i="1"/>
  <c r="G8" i="1"/>
  <c r="F8" i="1" s="1"/>
  <c r="G10" i="1"/>
  <c r="F10" i="1" s="1"/>
  <c r="G11" i="1"/>
  <c r="F11" i="1" s="1"/>
  <c r="G12" i="1"/>
  <c r="F12" i="1" s="1"/>
  <c r="G14" i="1"/>
  <c r="F14" i="1" s="1"/>
  <c r="G15" i="1"/>
  <c r="F15" i="1" s="1"/>
  <c r="G16" i="1"/>
  <c r="F16" i="1" s="1"/>
  <c r="G18" i="1"/>
  <c r="F18" i="1" s="1"/>
  <c r="G19" i="1"/>
  <c r="F19" i="1" s="1"/>
  <c r="G20" i="1"/>
  <c r="F20" i="1" s="1"/>
  <c r="G22" i="1"/>
  <c r="F22" i="1" s="1"/>
  <c r="G23" i="1"/>
  <c r="F23" i="1" s="1"/>
  <c r="G24" i="1"/>
  <c r="F24" i="1" s="1"/>
  <c r="G26" i="1"/>
  <c r="F26" i="1" s="1"/>
  <c r="G27" i="1"/>
  <c r="F27" i="1" s="1"/>
  <c r="G28" i="1"/>
  <c r="F28" i="1" s="1"/>
  <c r="G30" i="1"/>
  <c r="F30" i="1" s="1"/>
  <c r="G31" i="1"/>
  <c r="F31" i="1" s="1"/>
  <c r="G32" i="1"/>
  <c r="F32" i="1" s="1"/>
  <c r="G34" i="1"/>
  <c r="F34" i="1" s="1"/>
  <c r="G35" i="1"/>
  <c r="F35" i="1" s="1"/>
  <c r="G36" i="1"/>
  <c r="F36" i="1" s="1"/>
  <c r="G38" i="1"/>
  <c r="F38" i="1" s="1"/>
  <c r="G39" i="1"/>
  <c r="F39" i="1" s="1"/>
  <c r="G40" i="1"/>
  <c r="F40" i="1" s="1"/>
  <c r="G42" i="1"/>
  <c r="F42" i="1" s="1"/>
  <c r="G43" i="1"/>
  <c r="F43" i="1" s="1"/>
  <c r="G44" i="1"/>
  <c r="F44" i="1" s="1"/>
  <c r="G46" i="1"/>
  <c r="F46" i="1" s="1"/>
  <c r="G47" i="1"/>
  <c r="F47" i="1" s="1"/>
  <c r="G48" i="1"/>
  <c r="F48" i="1" s="1"/>
  <c r="G50" i="1"/>
  <c r="F50" i="1" s="1"/>
  <c r="G51" i="1"/>
  <c r="F51" i="1" s="1"/>
  <c r="G52" i="1"/>
  <c r="F52" i="1" s="1"/>
  <c r="G54" i="1"/>
  <c r="F54" i="1" s="1"/>
  <c r="G55" i="1"/>
  <c r="F55" i="1"/>
  <c r="G56" i="1"/>
  <c r="F56" i="1" s="1"/>
  <c r="G58" i="1"/>
  <c r="F58" i="1" s="1"/>
  <c r="G59" i="1"/>
  <c r="F59" i="1" s="1"/>
  <c r="G60" i="1"/>
  <c r="F60" i="1" s="1"/>
  <c r="G62" i="1"/>
  <c r="F62" i="1" s="1"/>
  <c r="G63" i="1"/>
  <c r="F63" i="1"/>
  <c r="G64" i="1"/>
  <c r="F64" i="1" s="1"/>
  <c r="G66" i="1"/>
  <c r="F66" i="1" s="1"/>
  <c r="G67" i="1"/>
  <c r="F67" i="1" s="1"/>
  <c r="G68" i="1"/>
  <c r="F68" i="1" s="1"/>
  <c r="G70" i="1"/>
  <c r="F70" i="1" s="1"/>
  <c r="G71" i="1"/>
  <c r="F71" i="1" s="1"/>
  <c r="G72" i="1"/>
  <c r="F72" i="1" s="1"/>
  <c r="G74" i="1"/>
  <c r="F74" i="1"/>
  <c r="G75" i="1"/>
  <c r="F75" i="1" s="1"/>
  <c r="G76" i="1"/>
  <c r="F76" i="1" s="1"/>
  <c r="G78" i="1"/>
  <c r="F78" i="1" s="1"/>
  <c r="G79" i="1"/>
  <c r="F79" i="1" s="1"/>
  <c r="G80" i="1"/>
  <c r="F80" i="1" s="1"/>
  <c r="G82" i="1"/>
  <c r="F82" i="1"/>
  <c r="G83" i="1"/>
  <c r="F83" i="1" s="1"/>
  <c r="G84" i="1"/>
  <c r="F84" i="1" s="1"/>
  <c r="G86" i="1"/>
  <c r="F86" i="1" s="1"/>
  <c r="G87" i="1"/>
  <c r="F87" i="1" s="1"/>
  <c r="G88" i="1"/>
  <c r="F88" i="1" s="1"/>
  <c r="G90" i="1"/>
  <c r="F90" i="1"/>
  <c r="G91" i="1"/>
  <c r="F91" i="1" s="1"/>
  <c r="G92" i="1"/>
  <c r="F92" i="1" s="1"/>
  <c r="G94" i="1"/>
  <c r="F94" i="1" s="1"/>
  <c r="G95" i="1"/>
  <c r="F95" i="1" s="1"/>
  <c r="G96" i="1"/>
  <c r="F96" i="1" s="1"/>
  <c r="G98" i="1"/>
  <c r="F98" i="1"/>
  <c r="G99" i="1"/>
  <c r="F99" i="1" s="1"/>
  <c r="G100" i="1"/>
  <c r="F100" i="1" s="1"/>
  <c r="G102" i="1"/>
  <c r="F102" i="1" s="1"/>
  <c r="G103" i="1"/>
  <c r="F103" i="1" s="1"/>
  <c r="G104" i="1"/>
  <c r="F104" i="1" s="1"/>
  <c r="G106" i="1"/>
  <c r="F106" i="1"/>
  <c r="G107" i="1"/>
  <c r="F107" i="1" s="1"/>
  <c r="G108" i="1"/>
  <c r="F108" i="1" s="1"/>
  <c r="G110" i="1"/>
  <c r="F110" i="1" s="1"/>
  <c r="G111" i="1"/>
  <c r="F111" i="1" s="1"/>
  <c r="G112" i="1"/>
  <c r="F112" i="1" s="1"/>
  <c r="G114" i="1"/>
  <c r="F114" i="1"/>
  <c r="G115" i="1"/>
  <c r="F115" i="1" s="1"/>
  <c r="G116" i="1"/>
  <c r="F116" i="1" s="1"/>
  <c r="G118" i="1"/>
  <c r="F118" i="1" s="1"/>
  <c r="G119" i="1"/>
  <c r="F119" i="1" s="1"/>
  <c r="G120" i="1"/>
  <c r="F120" i="1" s="1"/>
  <c r="G122" i="1"/>
  <c r="F122" i="1"/>
  <c r="G123" i="1"/>
  <c r="F123" i="1" s="1"/>
  <c r="G124" i="1"/>
  <c r="F124" i="1" s="1"/>
  <c r="G126" i="1"/>
  <c r="F126" i="1" s="1"/>
  <c r="G127" i="1"/>
  <c r="F127" i="1" s="1"/>
  <c r="G128" i="1"/>
  <c r="F128" i="1" s="1"/>
  <c r="G130" i="1"/>
  <c r="F130" i="1"/>
  <c r="G131" i="1"/>
  <c r="F131" i="1" s="1"/>
  <c r="G132" i="1"/>
  <c r="F132" i="1" s="1"/>
  <c r="G134" i="1"/>
  <c r="F134" i="1" s="1"/>
  <c r="G135" i="1"/>
  <c r="F135" i="1" s="1"/>
  <c r="G136" i="1"/>
  <c r="F136" i="1" s="1"/>
  <c r="G138" i="1"/>
  <c r="F138" i="1"/>
  <c r="G139" i="1"/>
  <c r="F139" i="1" s="1"/>
  <c r="G140" i="1"/>
  <c r="F140" i="1" s="1"/>
  <c r="G142" i="1"/>
  <c r="F142" i="1" s="1"/>
  <c r="G143" i="1"/>
  <c r="F143" i="1" s="1"/>
  <c r="G144" i="1"/>
  <c r="F144" i="1" s="1"/>
  <c r="G146" i="1"/>
  <c r="F146" i="1"/>
  <c r="G147" i="1"/>
  <c r="F147" i="1" s="1"/>
  <c r="G148" i="1"/>
  <c r="F148" i="1" s="1"/>
  <c r="G150" i="1"/>
  <c r="F150" i="1" s="1"/>
  <c r="G151" i="1"/>
  <c r="F151" i="1" s="1"/>
  <c r="G152" i="1"/>
  <c r="F152" i="1" s="1"/>
  <c r="G154" i="1"/>
  <c r="F154" i="1"/>
  <c r="G155" i="1"/>
  <c r="F155" i="1" s="1"/>
  <c r="G156" i="1"/>
  <c r="F156" i="1" s="1"/>
  <c r="G158" i="1"/>
  <c r="F158" i="1" s="1"/>
  <c r="G159" i="1"/>
  <c r="F159" i="1" s="1"/>
  <c r="G160" i="1"/>
  <c r="F160" i="1" s="1"/>
  <c r="G162" i="1"/>
  <c r="F162" i="1"/>
  <c r="G163" i="1"/>
  <c r="F163" i="1" s="1"/>
  <c r="G164" i="1"/>
  <c r="F164" i="1" s="1"/>
  <c r="G166" i="1"/>
  <c r="F166" i="1" s="1"/>
  <c r="G167" i="1"/>
  <c r="F167" i="1" s="1"/>
  <c r="G168" i="1"/>
  <c r="F168" i="1" s="1"/>
  <c r="G170" i="1"/>
  <c r="F170" i="1"/>
  <c r="G171" i="1"/>
  <c r="F171" i="1" s="1"/>
  <c r="G172" i="1"/>
  <c r="F172" i="1" s="1"/>
  <c r="G174" i="1"/>
  <c r="F174" i="1" s="1"/>
  <c r="G175" i="1"/>
  <c r="F175" i="1" s="1"/>
  <c r="G176" i="1"/>
  <c r="F176" i="1" s="1"/>
  <c r="G178" i="1"/>
  <c r="F178" i="1"/>
  <c r="G179" i="1"/>
  <c r="F179" i="1" s="1"/>
  <c r="G180" i="1"/>
  <c r="F180" i="1" s="1"/>
  <c r="G182" i="1"/>
  <c r="F182" i="1" s="1"/>
  <c r="G183" i="1"/>
  <c r="F183" i="1" s="1"/>
  <c r="G184" i="1"/>
  <c r="F184" i="1" s="1"/>
  <c r="G186" i="1"/>
  <c r="F186" i="1"/>
  <c r="G187" i="1"/>
  <c r="F187" i="1" s="1"/>
  <c r="G188" i="1"/>
  <c r="F188" i="1" s="1"/>
  <c r="G190" i="1"/>
  <c r="F190" i="1" s="1"/>
  <c r="G191" i="1"/>
  <c r="F191" i="1" s="1"/>
  <c r="G192" i="1"/>
  <c r="F192" i="1" s="1"/>
  <c r="G194" i="1"/>
  <c r="F194" i="1"/>
  <c r="G195" i="1"/>
  <c r="F195" i="1" s="1"/>
  <c r="G196" i="1"/>
  <c r="F196" i="1" s="1"/>
  <c r="G198" i="1"/>
  <c r="F198" i="1" s="1"/>
  <c r="G199" i="1"/>
  <c r="F199" i="1" s="1"/>
  <c r="G200" i="1"/>
  <c r="F200" i="1" s="1"/>
  <c r="G202" i="1"/>
  <c r="F202" i="1"/>
  <c r="G203" i="1"/>
  <c r="F203" i="1" s="1"/>
  <c r="G6" i="1"/>
  <c r="F6" i="1" s="1"/>
  <c r="B6" i="1"/>
  <c r="E2" i="1"/>
  <c r="D20" i="2" l="1"/>
  <c r="D45" i="2"/>
  <c r="D60" i="2"/>
  <c r="D36" i="2"/>
  <c r="D24" i="2"/>
  <c r="D34" i="2"/>
  <c r="D42" i="2"/>
  <c r="D47" i="2"/>
  <c r="D40" i="2"/>
  <c r="D14" i="2"/>
  <c r="D51" i="2"/>
  <c r="D30" i="2"/>
  <c r="D39" i="2"/>
  <c r="D13" i="2"/>
  <c r="D31" i="2"/>
  <c r="D52" i="2"/>
  <c r="D37" i="2"/>
  <c r="D48" i="2"/>
  <c r="D26" i="2"/>
  <c r="D54" i="2"/>
  <c r="D18" i="2"/>
  <c r="D41" i="2"/>
  <c r="D46" i="2"/>
  <c r="D27" i="2"/>
  <c r="D53" i="2"/>
  <c r="D22" i="2"/>
  <c r="D17" i="2"/>
  <c r="D43" i="2"/>
  <c r="D12" i="2"/>
  <c r="D61" i="2"/>
  <c r="D44" i="2"/>
  <c r="D29" i="2"/>
  <c r="G2" i="1"/>
  <c r="D38" i="2"/>
  <c r="D59" i="2"/>
  <c r="D11" i="2"/>
  <c r="D58" i="2"/>
  <c r="D19" i="2"/>
  <c r="D62" i="2"/>
  <c r="D33" i="2"/>
  <c r="D57" i="2"/>
  <c r="D25" i="2"/>
  <c r="D50" i="2"/>
  <c r="D32" i="2"/>
  <c r="D21" i="2"/>
  <c r="D16" i="2"/>
  <c r="D28" i="2"/>
  <c r="D15" i="2"/>
  <c r="D49" i="2"/>
  <c r="D55" i="2"/>
  <c r="D23" i="2"/>
  <c r="D35" i="2"/>
  <c r="F2" i="1"/>
  <c r="D56" i="2"/>
  <c r="E8" i="2" l="1"/>
</calcChain>
</file>

<file path=xl/sharedStrings.xml><?xml version="1.0" encoding="utf-8"?>
<sst xmlns="http://schemas.openxmlformats.org/spreadsheetml/2006/main" count="36" uniqueCount="35">
  <si>
    <t>Name:</t>
  </si>
  <si>
    <t>Max Mustermann : 30.04.2017</t>
  </si>
  <si>
    <t>Summe:</t>
  </si>
  <si>
    <t>Datum:</t>
  </si>
  <si>
    <t>KW</t>
  </si>
  <si>
    <t>Zeit</t>
  </si>
  <si>
    <r>
      <t>h</t>
    </r>
    <r>
      <rPr>
        <sz val="11"/>
        <color indexed="8"/>
        <rFont val="Calibri"/>
        <family val="2"/>
      </rPr>
      <t xml:space="preserve"> Schule:</t>
    </r>
  </si>
  <si>
    <r>
      <t>h</t>
    </r>
    <r>
      <rPr>
        <sz val="11"/>
        <color indexed="8"/>
        <rFont val="Calibri"/>
        <family val="2"/>
      </rPr>
      <t xml:space="preserve"> Freizeit:</t>
    </r>
  </si>
  <si>
    <r>
      <t>h</t>
    </r>
    <r>
      <rPr>
        <sz val="11"/>
        <color indexed="8"/>
        <rFont val="Calibri"/>
        <family val="2"/>
      </rPr>
      <t xml:space="preserve"> Gesamt:</t>
    </r>
  </si>
  <si>
    <t>Tätigkeit</t>
  </si>
  <si>
    <t xml:space="preserve">von </t>
  </si>
  <si>
    <t>bis</t>
  </si>
  <si>
    <t>Cortex -M4 Core Modul von ARM Minimalsystems gelötet</t>
  </si>
  <si>
    <t>Betreuungsprotokoll für Diplomarbeit in der HTL Hollabrunn</t>
  </si>
  <si>
    <t>Kandidat/in:</t>
  </si>
  <si>
    <t>Max Mustermann</t>
  </si>
  <si>
    <t>Jahrgang:</t>
  </si>
  <si>
    <t>5BHEL 2017/18</t>
  </si>
  <si>
    <t>Thema:</t>
  </si>
  <si>
    <t>individuelle  
Themenstellung:</t>
  </si>
  <si>
    <t xml:space="preserve">Betreuer: </t>
  </si>
  <si>
    <t>Datum</t>
  </si>
  <si>
    <t>Gesprächsnotiz</t>
  </si>
  <si>
    <t>Fach-kompetenz</t>
  </si>
  <si>
    <t>Methoden-kompetenz</t>
  </si>
  <si>
    <t>Selbst-kompetenz</t>
  </si>
  <si>
    <t>Sprach-kompetenz</t>
  </si>
  <si>
    <t>Dokumentation</t>
  </si>
  <si>
    <t>Aufgaben, To-Do</t>
  </si>
  <si>
    <t>Was ist bisher geschehen? - Aktueller Status
Besprechung der  Aufgabenstellung
Nächster Besprechnungstermin</t>
  </si>
  <si>
    <t>Ausarbeitung von Konzepten
Vorgänger Projekt nachvollziehen
Welche Tätigkeiten sind für die Ferien geplant ?
Was wird für diese Tätigkeiten während der Ferien benötigt  (Bauteile,Messgeräte,...) ?</t>
  </si>
  <si>
    <t>Begründung:</t>
  </si>
  <si>
    <t>Woche:</t>
  </si>
  <si>
    <t>Arbeitszeit:</t>
  </si>
  <si>
    <t>DIP Pools ausarbeitung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</si>
</sst>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;@"/>
    <numFmt numFmtId="166" formatCode="h:mm"/>
  </numFmts>
  <fonts count="9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6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vertAlign val="superscript"/>
      <sz val="10"/>
      <color indexed="8"/>
      <name val="Calibri"/>
      <family val="2"/>
    </font>
    <font>
      <b/>
      <sz val="10"/>
      <color indexed="8"/>
      <name val="Calibri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44"/>
        <bgColor indexed="31"/>
      </patternFill>
    </fill>
  </fills>
  <borders count="33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64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2" fontId="1" fillId="4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2" fontId="0" fillId="0" borderId="0" xfId="0" applyNumberFormat="1"/>
    <xf numFmtId="0" fontId="1" fillId="0" borderId="8" xfId="0" applyFont="1" applyBorder="1" applyAlignment="1">
      <alignment horizontal="center"/>
    </xf>
    <xf numFmtId="0" fontId="0" fillId="0" borderId="9" xfId="0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3" xfId="0" applyFont="1" applyBorder="1" applyAlignment="1">
      <alignment horizontal="center" vertical="center"/>
    </xf>
    <xf numFmtId="2" fontId="3" fillId="3" borderId="6" xfId="0" applyNumberFormat="1" applyFont="1" applyFill="1" applyBorder="1" applyAlignment="1">
      <alignment vertical="center"/>
    </xf>
    <xf numFmtId="165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 applyProtection="1">
      <alignment horizontal="center" vertical="center"/>
      <protection locked="0"/>
    </xf>
    <xf numFmtId="166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12" xfId="0" applyFont="1" applyBorder="1" applyAlignment="1">
      <alignment vertical="center" wrapText="1"/>
    </xf>
    <xf numFmtId="165" fontId="3" fillId="0" borderId="11" xfId="0" applyNumberFormat="1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>
      <alignment vertical="center" wrapText="1"/>
    </xf>
    <xf numFmtId="0" fontId="3" fillId="0" borderId="13" xfId="0" applyFont="1" applyBorder="1" applyAlignment="1">
      <alignment vertical="top" wrapText="1"/>
    </xf>
    <xf numFmtId="165" fontId="3" fillId="0" borderId="14" xfId="0" applyNumberFormat="1" applyFont="1" applyBorder="1" applyAlignment="1" applyProtection="1">
      <alignment horizontal="center" vertical="center"/>
      <protection locked="0"/>
    </xf>
    <xf numFmtId="166" fontId="3" fillId="0" borderId="15" xfId="0" applyNumberFormat="1" applyFont="1" applyBorder="1" applyAlignment="1" applyProtection="1">
      <alignment horizontal="center" vertical="center"/>
      <protection locked="0"/>
    </xf>
    <xf numFmtId="166" fontId="3" fillId="0" borderId="16" xfId="0" applyNumberFormat="1" applyFont="1" applyBorder="1" applyAlignment="1" applyProtection="1">
      <alignment horizontal="center" vertical="center"/>
      <protection locked="0"/>
    </xf>
    <xf numFmtId="2" fontId="3" fillId="2" borderId="17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vertical="center" wrapText="1"/>
    </xf>
    <xf numFmtId="2" fontId="3" fillId="0" borderId="0" xfId="0" applyNumberFormat="1" applyFont="1" applyAlignment="1">
      <alignment vertical="center"/>
    </xf>
    <xf numFmtId="0" fontId="0" fillId="0" borderId="0" xfId="0" applyAlignment="1">
      <alignment horizontal="left" vertical="top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4" fontId="1" fillId="2" borderId="10" xfId="0" applyNumberFormat="1" applyFont="1" applyFill="1" applyBorder="1" applyAlignment="1">
      <alignment vertical="center"/>
    </xf>
    <xf numFmtId="0" fontId="3" fillId="3" borderId="30" xfId="0" applyFont="1" applyFill="1" applyBorder="1" applyAlignment="1">
      <alignment vertical="center"/>
    </xf>
    <xf numFmtId="2" fontId="3" fillId="2" borderId="31" xfId="0" applyNumberFormat="1" applyFont="1" applyFill="1" applyBorder="1" applyAlignment="1">
      <alignment horizontal="center" vertical="center"/>
    </xf>
    <xf numFmtId="2" fontId="3" fillId="2" borderId="32" xfId="0" applyNumberFormat="1" applyFont="1" applyFill="1" applyBorder="1" applyAlignment="1">
      <alignment horizontal="center" vertical="center"/>
    </xf>
    <xf numFmtId="0" fontId="0" fillId="0" borderId="32" xfId="0" applyBorder="1" applyAlignment="1">
      <alignment horizontal="left"/>
    </xf>
    <xf numFmtId="0" fontId="7" fillId="0" borderId="32" xfId="0" applyFont="1" applyBorder="1" applyAlignment="1">
      <alignment horizontal="center" vertical="center" textRotation="90" wrapText="1"/>
    </xf>
    <xf numFmtId="0" fontId="8" fillId="0" borderId="32" xfId="0" applyFont="1" applyBorder="1" applyAlignment="1">
      <alignment horizontal="left" wrapText="1"/>
    </xf>
    <xf numFmtId="14" fontId="0" fillId="0" borderId="32" xfId="0" applyNumberFormat="1" applyBorder="1" applyAlignment="1">
      <alignment horizontal="left" vertical="top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wrapText="1"/>
    </xf>
    <xf numFmtId="0" fontId="0" fillId="0" borderId="32" xfId="0" applyBorder="1"/>
    <xf numFmtId="0" fontId="0" fillId="0" borderId="32" xfId="0" applyBorder="1" applyAlignment="1">
      <alignment horizontal="left" vertical="top"/>
    </xf>
    <xf numFmtId="0" fontId="3" fillId="5" borderId="19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2" fontId="5" fillId="3" borderId="20" xfId="0" applyNumberFormat="1" applyFont="1" applyFill="1" applyBorder="1" applyAlignment="1">
      <alignment horizontal="center" vertical="center"/>
    </xf>
    <xf numFmtId="2" fontId="6" fillId="3" borderId="10" xfId="0" applyNumberFormat="1" applyFont="1" applyFill="1" applyBorder="1" applyAlignment="1">
      <alignment horizontal="center" vertical="center"/>
    </xf>
    <xf numFmtId="2" fontId="6" fillId="3" borderId="2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4" borderId="23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de-AT"/>
              <a:t>Zeitaufwand / Mustermann </a:t>
            </a:r>
          </a:p>
        </c:rich>
      </c:tx>
      <c:layout>
        <c:manualLayout>
          <c:xMode val="edge"/>
          <c:yMode val="edge"/>
          <c:x val="0.3419164273152504"/>
          <c:y val="5.232638767749363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229722806032849E-2"/>
          <c:y val="0.18750000000000006"/>
          <c:w val="0.91124922598616798"/>
          <c:h val="0.704440175487562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Wochenstunden!$D$10</c:f>
              <c:strCache>
                <c:ptCount val="1"/>
                <c:pt idx="0">
                  <c:v>Arbeitszeit:</c:v>
                </c:pt>
              </c:strCache>
            </c:strRef>
          </c:tx>
          <c:spPr>
            <a:solidFill>
              <a:srgbClr val="4F81BD"/>
            </a:solidFill>
            <a:ln w="25400">
              <a:noFill/>
            </a:ln>
          </c:spPr>
          <c:invertIfNegative val="0"/>
          <c:cat>
            <c:strRef>
              <c:f>Wochenstunden!$C$10:$C$62</c:f>
              <c:strCache>
                <c:ptCount val="53"/>
                <c:pt idx="0">
                  <c:v>Woche: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28</c:v>
                </c:pt>
                <c:pt idx="14">
                  <c:v>29</c:v>
                </c:pt>
                <c:pt idx="15">
                  <c:v>30</c:v>
                </c:pt>
                <c:pt idx="16">
                  <c:v>31</c:v>
                </c:pt>
                <c:pt idx="17">
                  <c:v>32</c:v>
                </c:pt>
                <c:pt idx="18">
                  <c:v>33</c:v>
                </c:pt>
                <c:pt idx="19">
                  <c:v>34</c:v>
                </c:pt>
                <c:pt idx="20">
                  <c:v>35</c:v>
                </c:pt>
                <c:pt idx="21">
                  <c:v>36</c:v>
                </c:pt>
                <c:pt idx="22">
                  <c:v>37</c:v>
                </c:pt>
                <c:pt idx="23">
                  <c:v>38</c:v>
                </c:pt>
                <c:pt idx="24">
                  <c:v>39</c:v>
                </c:pt>
                <c:pt idx="25">
                  <c:v>40</c:v>
                </c:pt>
                <c:pt idx="26">
                  <c:v>41</c:v>
                </c:pt>
                <c:pt idx="27">
                  <c:v>42</c:v>
                </c:pt>
                <c:pt idx="28">
                  <c:v>43</c:v>
                </c:pt>
                <c:pt idx="29">
                  <c:v>44</c:v>
                </c:pt>
                <c:pt idx="30">
                  <c:v>45</c:v>
                </c:pt>
                <c:pt idx="31">
                  <c:v>46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50</c:v>
                </c:pt>
                <c:pt idx="36">
                  <c:v>51</c:v>
                </c:pt>
                <c:pt idx="37">
                  <c:v>52</c:v>
                </c:pt>
                <c:pt idx="38">
                  <c:v>1</c:v>
                </c:pt>
                <c:pt idx="39">
                  <c:v>2</c:v>
                </c:pt>
                <c:pt idx="40">
                  <c:v>3</c:v>
                </c:pt>
                <c:pt idx="41">
                  <c:v>4</c:v>
                </c:pt>
                <c:pt idx="42">
                  <c:v>5</c:v>
                </c:pt>
                <c:pt idx="43">
                  <c:v>6</c:v>
                </c:pt>
                <c:pt idx="44">
                  <c:v>7</c:v>
                </c:pt>
                <c:pt idx="45">
                  <c:v>8</c:v>
                </c:pt>
                <c:pt idx="46">
                  <c:v>9</c:v>
                </c:pt>
                <c:pt idx="47">
                  <c:v>10</c:v>
                </c:pt>
                <c:pt idx="48">
                  <c:v>11</c:v>
                </c:pt>
                <c:pt idx="49">
                  <c:v>12</c:v>
                </c:pt>
                <c:pt idx="50">
                  <c:v>13</c:v>
                </c:pt>
                <c:pt idx="51">
                  <c:v>14</c:v>
                </c:pt>
                <c:pt idx="52">
                  <c:v>15</c:v>
                </c:pt>
              </c:strCache>
            </c:strRef>
          </c:cat>
          <c:val>
            <c:numRef>
              <c:f>Wochenstunden!$D$10:$D$62</c:f>
              <c:numCache>
                <c:formatCode>0.00</c:formatCode>
                <c:ptCount val="53"/>
                <c:pt idx="0" formatCode="General">
                  <c:v>0</c:v>
                </c:pt>
                <c:pt idx="1">
                  <c:v>8</c:v>
                </c:pt>
                <c:pt idx="2">
                  <c:v>22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5.4166666666666661</c:v>
                </c:pt>
                <c:pt idx="47">
                  <c:v>2.4166666666666665</c:v>
                </c:pt>
                <c:pt idx="48">
                  <c:v>7.5</c:v>
                </c:pt>
                <c:pt idx="49">
                  <c:v>15</c:v>
                </c:pt>
                <c:pt idx="50">
                  <c:v>14</c:v>
                </c:pt>
                <c:pt idx="51">
                  <c:v>0</c:v>
                </c:pt>
                <c:pt idx="52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7-4461-A2C3-7C6BBD308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007872"/>
        <c:axId val="93009792"/>
      </c:barChart>
      <c:catAx>
        <c:axId val="93007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Kalenderwochen 2017 / 2018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de-DE"/>
          </a:p>
        </c:txPr>
        <c:crossAx val="93009792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93009792"/>
        <c:scaling>
          <c:orientation val="minMax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Zeit</a:t>
                </a:r>
                <a:r>
                  <a:rPr lang="de-AT" baseline="0"/>
                  <a:t> [h]</a:t>
                </a:r>
                <a:endParaRPr lang="de-AT"/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de-DE"/>
          </a:p>
        </c:txPr>
        <c:crossAx val="9300787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plotVisOnly val="0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de-DE"/>
    </a:p>
  </c:txPr>
  <c:printSettings>
    <c:headerFooter alignWithMargins="0"/>
    <c:pageMargins b="0.98425196899999978" l="0.78740157499999996" r="0.78740157499999996" t="0.98425196899999978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463827</xdr:colOff>
      <xdr:row>11</xdr:row>
      <xdr:rowOff>77028</xdr:rowOff>
    </xdr:from>
    <xdr:to>
      <xdr:col>18</xdr:col>
      <xdr:colOff>221146</xdr:colOff>
      <xdr:row>35</xdr:row>
      <xdr:rowOff>91108</xdr:rowOff>
    </xdr:to>
    <xdr:graphicFrame macro="">
      <xdr:nvGraphicFramePr>
        <xdr:cNvPr id="2463" name="Chart 1">
          <a:extLst>
            <a:ext uri="{FF2B5EF4-FFF2-40B4-BE49-F238E27FC236}">
              <a16:creationId xmlns:a16="http://schemas.microsoft.com/office/drawing/2014/main" id="{00000000-0008-0000-0200-00009F0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Z203"/>
  <sheetViews>
    <sheetView tabSelected="1" topLeftCell="A18" zoomScale="85" zoomScaleNormal="85" workbookViewId="0">
      <selection activeCell="F47" sqref="F47"/>
    </sheetView>
  </sheetViews>
  <sheetFormatPr baseColWidth="10" defaultColWidth="9.109375" defaultRowHeight="14.4" x14ac:dyDescent="0.3"/>
  <cols>
    <col min="1" max="1" width="10.88671875" style="7" customWidth="1"/>
    <col min="2" max="2" width="9.109375" style="7" customWidth="1"/>
    <col min="3" max="3" width="7" style="7" customWidth="1"/>
    <col min="4" max="4" width="7.5546875" style="23" customWidth="1"/>
    <col min="5" max="5" width="8.5546875" style="7" bestFit="1" customWidth="1"/>
    <col min="6" max="7" width="9.44140625" style="7" bestFit="1" customWidth="1"/>
    <col min="8" max="8" width="83.44140625" style="7" customWidth="1"/>
    <col min="9" max="16384" width="9.109375" style="7"/>
  </cols>
  <sheetData>
    <row r="1" spans="1:234" ht="15" thickBot="1" x14ac:dyDescent="0.35">
      <c r="A1" s="40" t="s">
        <v>0</v>
      </c>
      <c r="B1" s="40"/>
      <c r="C1" s="40"/>
      <c r="D1" s="41" t="s">
        <v>1</v>
      </c>
      <c r="E1" s="41"/>
      <c r="F1" s="41"/>
      <c r="G1" s="41"/>
      <c r="H1" s="42"/>
    </row>
    <row r="2" spans="1:234" ht="15" thickBot="1" x14ac:dyDescent="0.35">
      <c r="A2" s="43" t="s">
        <v>2</v>
      </c>
      <c r="B2" s="43"/>
      <c r="C2" s="43"/>
      <c r="D2" s="43"/>
      <c r="E2" s="25">
        <f>SUM(E5:E203)</f>
        <v>0</v>
      </c>
      <c r="F2" s="25">
        <f>SUM(F5:F203)</f>
        <v>93.333333333333329</v>
      </c>
      <c r="G2" s="26">
        <f>SUM(G5:G203)</f>
        <v>93.333333333333329</v>
      </c>
      <c r="H2" s="27"/>
    </row>
    <row r="3" spans="1:234" s="8" customFormat="1" ht="13.5" customHeight="1" thickBot="1" x14ac:dyDescent="0.35">
      <c r="A3" s="42" t="s">
        <v>3</v>
      </c>
      <c r="B3" s="44" t="s">
        <v>4</v>
      </c>
      <c r="C3" s="45" t="s">
        <v>5</v>
      </c>
      <c r="D3" s="45"/>
      <c r="E3" s="46" t="s">
        <v>6</v>
      </c>
      <c r="F3" s="47" t="s">
        <v>7</v>
      </c>
      <c r="G3" s="47" t="s">
        <v>8</v>
      </c>
      <c r="H3" s="48" t="s">
        <v>9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</row>
    <row r="4" spans="1:234" ht="15" thickBot="1" x14ac:dyDescent="0.35">
      <c r="A4" s="42"/>
      <c r="B4" s="44"/>
      <c r="C4" s="28" t="s">
        <v>10</v>
      </c>
      <c r="D4" s="9" t="s">
        <v>11</v>
      </c>
      <c r="E4" s="46"/>
      <c r="F4" s="47"/>
      <c r="G4" s="47"/>
      <c r="H4" s="49"/>
    </row>
    <row r="5" spans="1:234" x14ac:dyDescent="0.3">
      <c r="A5" s="10">
        <v>46079</v>
      </c>
      <c r="B5" s="11">
        <f>TRUNC((A5-DATE(YEAR(A5+3-MOD(A5-2,7)),1,MOD(A5-2,7)-9))/7)</f>
        <v>9</v>
      </c>
      <c r="C5" s="12">
        <v>0.375</v>
      </c>
      <c r="D5" s="13">
        <v>0.39583333333333331</v>
      </c>
      <c r="E5" s="29">
        <v>0</v>
      </c>
      <c r="F5" s="30">
        <v>0.5</v>
      </c>
      <c r="G5" s="29">
        <v>0.5</v>
      </c>
      <c r="H5" s="14" t="s">
        <v>34</v>
      </c>
    </row>
    <row r="6" spans="1:234" x14ac:dyDescent="0.3">
      <c r="A6" s="15">
        <v>46079</v>
      </c>
      <c r="B6" s="11">
        <f t="shared" ref="B6:B69" si="0">TRUNC((A6-DATE(YEAR(A6+3-MOD(A6-2,7)),1,MOD(A6-2,7)-9))/7)</f>
        <v>9</v>
      </c>
      <c r="C6" s="12">
        <v>0.46111111111111114</v>
      </c>
      <c r="D6" s="13">
        <v>0.46805555555555556</v>
      </c>
      <c r="E6" s="30">
        <v>0</v>
      </c>
      <c r="F6" s="30">
        <f t="shared" ref="F6:F70" si="1">G6-E6</f>
        <v>0.16666666666666666</v>
      </c>
      <c r="G6" s="29">
        <f t="shared" ref="G6:G69" si="2">HOUR($D6-$C6)+MINUTE($D6-$C6)/60</f>
        <v>0.16666666666666666</v>
      </c>
      <c r="H6" s="16" t="s">
        <v>12</v>
      </c>
    </row>
    <row r="7" spans="1:234" x14ac:dyDescent="0.3">
      <c r="A7" s="15">
        <v>46079</v>
      </c>
      <c r="B7" s="11">
        <f>TRUNC((A7-DATE(YEAR(A7+3-MOD(A7-2,7)),1,MOD(A7-2,7)-9))/7)</f>
        <v>9</v>
      </c>
      <c r="C7" s="12">
        <v>0.67708333333333337</v>
      </c>
      <c r="D7" s="13">
        <v>0.69791666666666663</v>
      </c>
      <c r="E7" s="30">
        <v>0</v>
      </c>
      <c r="F7" s="30">
        <v>0.5</v>
      </c>
      <c r="G7" s="29">
        <v>0.5</v>
      </c>
      <c r="H7" s="16"/>
    </row>
    <row r="8" spans="1:234" x14ac:dyDescent="0.3">
      <c r="A8" s="10">
        <v>46079</v>
      </c>
      <c r="B8" s="11">
        <f t="shared" si="0"/>
        <v>9</v>
      </c>
      <c r="C8" s="12">
        <v>0.79722222222222228</v>
      </c>
      <c r="D8" s="13">
        <v>0.82499999999999996</v>
      </c>
      <c r="E8" s="30">
        <v>0</v>
      </c>
      <c r="F8" s="30">
        <f t="shared" si="1"/>
        <v>0.66666666666666663</v>
      </c>
      <c r="G8" s="29">
        <f>HOUR($D8-$C8)+MINUTE($D8-$C8)/60</f>
        <v>0.66666666666666663</v>
      </c>
      <c r="H8" s="16"/>
    </row>
    <row r="9" spans="1:234" x14ac:dyDescent="0.3">
      <c r="A9" s="15">
        <v>46079</v>
      </c>
      <c r="B9" s="11">
        <f t="shared" si="0"/>
        <v>9</v>
      </c>
      <c r="C9" s="12">
        <v>0.84097222222222223</v>
      </c>
      <c r="D9" s="13">
        <v>0.85138888888888886</v>
      </c>
      <c r="E9" s="30">
        <v>0</v>
      </c>
      <c r="F9" s="30">
        <f t="shared" si="1"/>
        <v>0.25</v>
      </c>
      <c r="G9" s="29">
        <f t="shared" si="2"/>
        <v>0.25</v>
      </c>
      <c r="H9" s="16"/>
    </row>
    <row r="10" spans="1:234" x14ac:dyDescent="0.3">
      <c r="A10" s="15">
        <v>46080</v>
      </c>
      <c r="B10" s="11">
        <f t="shared" si="0"/>
        <v>9</v>
      </c>
      <c r="C10" s="12">
        <v>0.82430555555555551</v>
      </c>
      <c r="D10" s="13">
        <v>0.86597222222222225</v>
      </c>
      <c r="E10" s="30">
        <v>0</v>
      </c>
      <c r="F10" s="30">
        <f t="shared" si="1"/>
        <v>1</v>
      </c>
      <c r="G10" s="29">
        <f t="shared" si="2"/>
        <v>1</v>
      </c>
      <c r="H10" s="16"/>
    </row>
    <row r="11" spans="1:234" x14ac:dyDescent="0.3">
      <c r="A11" s="15">
        <v>46080</v>
      </c>
      <c r="B11" s="11">
        <f t="shared" si="0"/>
        <v>9</v>
      </c>
      <c r="C11" s="12">
        <v>0.87430555555555556</v>
      </c>
      <c r="D11" s="13">
        <v>0.8881944444444444</v>
      </c>
      <c r="E11" s="30">
        <v>0</v>
      </c>
      <c r="F11" s="30">
        <f t="shared" si="1"/>
        <v>0.33333333333333331</v>
      </c>
      <c r="G11" s="29">
        <f t="shared" si="2"/>
        <v>0.33333333333333331</v>
      </c>
      <c r="H11" s="16"/>
    </row>
    <row r="12" spans="1:234" x14ac:dyDescent="0.3">
      <c r="A12" s="15">
        <v>46080</v>
      </c>
      <c r="B12" s="11">
        <f t="shared" si="0"/>
        <v>9</v>
      </c>
      <c r="C12" s="12">
        <v>0.46458333333333335</v>
      </c>
      <c r="D12" s="13">
        <v>0.48541666666666666</v>
      </c>
      <c r="E12" s="30">
        <v>0</v>
      </c>
      <c r="F12" s="30">
        <f t="shared" si="1"/>
        <v>0.5</v>
      </c>
      <c r="G12" s="29">
        <f t="shared" si="2"/>
        <v>0.5</v>
      </c>
      <c r="H12" s="16"/>
    </row>
    <row r="13" spans="1:234" x14ac:dyDescent="0.3">
      <c r="A13" s="15">
        <v>46082</v>
      </c>
      <c r="B13" s="11">
        <f t="shared" si="0"/>
        <v>9</v>
      </c>
      <c r="C13" s="12">
        <v>0.62847222222222221</v>
      </c>
      <c r="D13" s="13">
        <v>0.64930555555555558</v>
      </c>
      <c r="E13" s="30">
        <v>0</v>
      </c>
      <c r="F13" s="30">
        <f t="shared" si="1"/>
        <v>0.5</v>
      </c>
      <c r="G13" s="29">
        <f t="shared" si="2"/>
        <v>0.5</v>
      </c>
      <c r="H13" s="16"/>
    </row>
    <row r="14" spans="1:234" x14ac:dyDescent="0.3">
      <c r="A14" s="15">
        <v>46082</v>
      </c>
      <c r="B14" s="11">
        <f t="shared" si="0"/>
        <v>9</v>
      </c>
      <c r="C14" s="12">
        <v>0.67986111111111114</v>
      </c>
      <c r="D14" s="13">
        <v>0.7006944444444444</v>
      </c>
      <c r="E14" s="30">
        <v>0</v>
      </c>
      <c r="F14" s="30">
        <f t="shared" si="1"/>
        <v>0.5</v>
      </c>
      <c r="G14" s="29">
        <f t="shared" si="2"/>
        <v>0.5</v>
      </c>
      <c r="H14" s="16"/>
    </row>
    <row r="15" spans="1:234" x14ac:dyDescent="0.3">
      <c r="A15" s="15">
        <v>46082</v>
      </c>
      <c r="B15" s="11">
        <f t="shared" si="0"/>
        <v>9</v>
      </c>
      <c r="C15" s="12">
        <v>0.91319444444444442</v>
      </c>
      <c r="D15" s="13">
        <v>0.93402777777777779</v>
      </c>
      <c r="E15" s="30">
        <v>0</v>
      </c>
      <c r="F15" s="30">
        <f t="shared" si="1"/>
        <v>0.5</v>
      </c>
      <c r="G15" s="29">
        <f t="shared" si="2"/>
        <v>0.5</v>
      </c>
      <c r="H15" s="16"/>
    </row>
    <row r="16" spans="1:234" x14ac:dyDescent="0.3">
      <c r="A16" s="15">
        <v>46083</v>
      </c>
      <c r="B16" s="11">
        <f t="shared" si="0"/>
        <v>10</v>
      </c>
      <c r="C16" s="12">
        <v>0.4777777777777778</v>
      </c>
      <c r="D16" s="13">
        <v>0.50902777777777775</v>
      </c>
      <c r="E16" s="30">
        <v>0</v>
      </c>
      <c r="F16" s="30">
        <f t="shared" si="1"/>
        <v>0.75</v>
      </c>
      <c r="G16" s="29">
        <f t="shared" si="2"/>
        <v>0.75</v>
      </c>
      <c r="H16" s="16"/>
    </row>
    <row r="17" spans="1:8" x14ac:dyDescent="0.3">
      <c r="A17" s="15">
        <v>46083</v>
      </c>
      <c r="B17" s="11">
        <f t="shared" si="0"/>
        <v>10</v>
      </c>
      <c r="C17" s="12">
        <v>0.68055555555555558</v>
      </c>
      <c r="D17" s="13">
        <v>0.6875</v>
      </c>
      <c r="E17" s="30">
        <v>0</v>
      </c>
      <c r="F17" s="30">
        <f t="shared" si="1"/>
        <v>0.16666666666666666</v>
      </c>
      <c r="G17" s="29">
        <f t="shared" si="2"/>
        <v>0.16666666666666666</v>
      </c>
      <c r="H17" s="16"/>
    </row>
    <row r="18" spans="1:8" x14ac:dyDescent="0.3">
      <c r="A18" s="15">
        <v>46083</v>
      </c>
      <c r="B18" s="11">
        <f t="shared" si="0"/>
        <v>10</v>
      </c>
      <c r="C18" s="12">
        <v>0.76041666666666663</v>
      </c>
      <c r="D18" s="13">
        <v>0.80208333333333337</v>
      </c>
      <c r="E18" s="30">
        <v>0</v>
      </c>
      <c r="F18" s="30">
        <f t="shared" si="1"/>
        <v>1</v>
      </c>
      <c r="G18" s="29">
        <f t="shared" si="2"/>
        <v>1</v>
      </c>
      <c r="H18" s="16"/>
    </row>
    <row r="19" spans="1:8" x14ac:dyDescent="0.3">
      <c r="A19" s="15">
        <v>46083</v>
      </c>
      <c r="B19" s="11">
        <f t="shared" si="0"/>
        <v>10</v>
      </c>
      <c r="C19" s="12">
        <v>0.81319444444444444</v>
      </c>
      <c r="D19" s="13">
        <v>0.83402777777777781</v>
      </c>
      <c r="E19" s="30">
        <v>0</v>
      </c>
      <c r="F19" s="30">
        <f t="shared" si="1"/>
        <v>0.5</v>
      </c>
      <c r="G19" s="29">
        <f t="shared" si="2"/>
        <v>0.5</v>
      </c>
      <c r="H19" s="16"/>
    </row>
    <row r="20" spans="1:8" x14ac:dyDescent="0.3">
      <c r="A20" s="15">
        <v>46091</v>
      </c>
      <c r="B20" s="11">
        <f t="shared" si="0"/>
        <v>11</v>
      </c>
      <c r="C20" s="12">
        <v>0.85416666666666663</v>
      </c>
      <c r="D20" s="13">
        <v>0.9375</v>
      </c>
      <c r="E20" s="30">
        <v>0</v>
      </c>
      <c r="F20" s="30">
        <f t="shared" si="1"/>
        <v>2</v>
      </c>
      <c r="G20" s="29">
        <f t="shared" si="2"/>
        <v>2</v>
      </c>
      <c r="H20" s="16"/>
    </row>
    <row r="21" spans="1:8" x14ac:dyDescent="0.3">
      <c r="A21" s="15">
        <v>46094</v>
      </c>
      <c r="B21" s="11">
        <f t="shared" si="0"/>
        <v>11</v>
      </c>
      <c r="C21" s="12">
        <v>0.44444444444444442</v>
      </c>
      <c r="D21" s="13">
        <v>0.52777777777777779</v>
      </c>
      <c r="E21" s="30">
        <v>0</v>
      </c>
      <c r="F21" s="30">
        <f t="shared" si="1"/>
        <v>2</v>
      </c>
      <c r="G21" s="29">
        <f t="shared" si="2"/>
        <v>2</v>
      </c>
      <c r="H21" s="16"/>
    </row>
    <row r="22" spans="1:8" x14ac:dyDescent="0.3">
      <c r="A22" s="15">
        <v>46094</v>
      </c>
      <c r="B22" s="11">
        <f t="shared" si="0"/>
        <v>11</v>
      </c>
      <c r="C22" s="12">
        <v>0.72916666666666663</v>
      </c>
      <c r="D22" s="13">
        <v>0.85416666666666663</v>
      </c>
      <c r="E22" s="30">
        <v>0</v>
      </c>
      <c r="F22" s="30">
        <f t="shared" si="1"/>
        <v>3</v>
      </c>
      <c r="G22" s="29">
        <f t="shared" si="2"/>
        <v>3</v>
      </c>
      <c r="H22" s="16"/>
    </row>
    <row r="23" spans="1:8" x14ac:dyDescent="0.3">
      <c r="A23" s="15">
        <v>46096</v>
      </c>
      <c r="B23" s="11">
        <f t="shared" si="0"/>
        <v>11</v>
      </c>
      <c r="C23" s="12">
        <v>0.38611111111111113</v>
      </c>
      <c r="D23" s="13">
        <v>0.40694444444444444</v>
      </c>
      <c r="E23" s="30">
        <v>0</v>
      </c>
      <c r="F23" s="30">
        <f t="shared" si="1"/>
        <v>0.5</v>
      </c>
      <c r="G23" s="29">
        <f t="shared" si="2"/>
        <v>0.5</v>
      </c>
      <c r="H23" s="16"/>
    </row>
    <row r="24" spans="1:8" x14ac:dyDescent="0.3">
      <c r="A24" s="15">
        <v>46097</v>
      </c>
      <c r="B24" s="11">
        <f t="shared" si="0"/>
        <v>12</v>
      </c>
      <c r="C24" s="12">
        <v>0.28402777777777777</v>
      </c>
      <c r="D24" s="13">
        <v>0.45069444444444445</v>
      </c>
      <c r="E24" s="30">
        <v>0</v>
      </c>
      <c r="F24" s="30">
        <f t="shared" si="1"/>
        <v>4</v>
      </c>
      <c r="G24" s="29">
        <f t="shared" si="2"/>
        <v>4</v>
      </c>
      <c r="H24" s="16"/>
    </row>
    <row r="25" spans="1:8" x14ac:dyDescent="0.3">
      <c r="A25" s="15">
        <v>46098</v>
      </c>
      <c r="B25" s="11">
        <f t="shared" si="0"/>
        <v>12</v>
      </c>
      <c r="C25" s="12">
        <v>0.47291666666666665</v>
      </c>
      <c r="D25" s="13">
        <v>0.63958333333333328</v>
      </c>
      <c r="E25" s="30">
        <v>0</v>
      </c>
      <c r="F25" s="30">
        <f t="shared" si="1"/>
        <v>4</v>
      </c>
      <c r="G25" s="29">
        <f t="shared" si="2"/>
        <v>4</v>
      </c>
      <c r="H25" s="16"/>
    </row>
    <row r="26" spans="1:8" x14ac:dyDescent="0.3">
      <c r="A26" s="15">
        <v>46099</v>
      </c>
      <c r="B26" s="11">
        <f t="shared" si="0"/>
        <v>12</v>
      </c>
      <c r="C26" s="12">
        <v>0.69513888888888886</v>
      </c>
      <c r="D26" s="13">
        <v>0.77847222222222223</v>
      </c>
      <c r="E26" s="30">
        <v>0</v>
      </c>
      <c r="F26" s="30">
        <f t="shared" si="1"/>
        <v>2</v>
      </c>
      <c r="G26" s="29">
        <f t="shared" si="2"/>
        <v>2</v>
      </c>
      <c r="H26" s="16"/>
    </row>
    <row r="27" spans="1:8" x14ac:dyDescent="0.3">
      <c r="A27" s="15">
        <v>46099</v>
      </c>
      <c r="B27" s="11">
        <f t="shared" si="0"/>
        <v>12</v>
      </c>
      <c r="C27" s="12">
        <v>0.77569444444444446</v>
      </c>
      <c r="D27" s="13">
        <v>0.81736111111111109</v>
      </c>
      <c r="E27" s="30">
        <v>0</v>
      </c>
      <c r="F27" s="30">
        <f t="shared" si="1"/>
        <v>1</v>
      </c>
      <c r="G27" s="29">
        <f t="shared" si="2"/>
        <v>1</v>
      </c>
      <c r="H27" s="16"/>
    </row>
    <row r="28" spans="1:8" x14ac:dyDescent="0.3">
      <c r="A28" s="15">
        <v>46101</v>
      </c>
      <c r="B28" s="11">
        <f t="shared" si="0"/>
        <v>12</v>
      </c>
      <c r="C28" s="12">
        <v>0.72430555555555554</v>
      </c>
      <c r="D28" s="13">
        <v>0.80763888888888891</v>
      </c>
      <c r="E28" s="30">
        <v>0</v>
      </c>
      <c r="F28" s="30">
        <f t="shared" si="1"/>
        <v>2</v>
      </c>
      <c r="G28" s="29">
        <f t="shared" si="2"/>
        <v>2</v>
      </c>
      <c r="H28" s="16"/>
    </row>
    <row r="29" spans="1:8" x14ac:dyDescent="0.3">
      <c r="A29" s="15">
        <v>46103</v>
      </c>
      <c r="B29" s="11">
        <f t="shared" si="0"/>
        <v>12</v>
      </c>
      <c r="C29" s="12">
        <v>0.50277777777777777</v>
      </c>
      <c r="D29" s="13">
        <v>0.58611111111111114</v>
      </c>
      <c r="E29" s="30">
        <v>0</v>
      </c>
      <c r="F29" s="30">
        <f t="shared" si="1"/>
        <v>2</v>
      </c>
      <c r="G29" s="29">
        <f t="shared" si="2"/>
        <v>2</v>
      </c>
      <c r="H29" s="16"/>
    </row>
    <row r="30" spans="1:8" x14ac:dyDescent="0.3">
      <c r="A30" s="15">
        <v>46108</v>
      </c>
      <c r="B30" s="11">
        <f t="shared" si="0"/>
        <v>13</v>
      </c>
      <c r="C30" s="12">
        <v>0.66319444444444442</v>
      </c>
      <c r="D30" s="13">
        <v>0.78819444444444442</v>
      </c>
      <c r="E30" s="30">
        <v>0</v>
      </c>
      <c r="F30" s="30">
        <f t="shared" si="1"/>
        <v>3</v>
      </c>
      <c r="G30" s="29">
        <f t="shared" si="2"/>
        <v>3</v>
      </c>
      <c r="H30" s="16"/>
    </row>
    <row r="31" spans="1:8" x14ac:dyDescent="0.3">
      <c r="A31" s="15">
        <v>46108</v>
      </c>
      <c r="B31" s="11">
        <f t="shared" si="0"/>
        <v>13</v>
      </c>
      <c r="C31" s="12">
        <v>0.32708333333333334</v>
      </c>
      <c r="D31" s="13">
        <v>0.41041666666666665</v>
      </c>
      <c r="E31" s="30">
        <v>0</v>
      </c>
      <c r="F31" s="30">
        <f t="shared" si="1"/>
        <v>2</v>
      </c>
      <c r="G31" s="29">
        <f t="shared" si="2"/>
        <v>2</v>
      </c>
      <c r="H31" s="16"/>
    </row>
    <row r="32" spans="1:8" x14ac:dyDescent="0.3">
      <c r="A32" s="15">
        <v>46108</v>
      </c>
      <c r="B32" s="11">
        <f t="shared" si="0"/>
        <v>13</v>
      </c>
      <c r="C32" s="12">
        <v>0.35902777777777778</v>
      </c>
      <c r="D32" s="13">
        <v>0.48402777777777778</v>
      </c>
      <c r="E32" s="30">
        <v>0</v>
      </c>
      <c r="F32" s="30">
        <f t="shared" si="1"/>
        <v>3</v>
      </c>
      <c r="G32" s="29">
        <f t="shared" si="2"/>
        <v>3</v>
      </c>
      <c r="H32" s="16"/>
    </row>
    <row r="33" spans="1:8" x14ac:dyDescent="0.3">
      <c r="A33" s="15">
        <v>46108</v>
      </c>
      <c r="B33" s="11">
        <f t="shared" si="0"/>
        <v>13</v>
      </c>
      <c r="C33" s="12">
        <v>0.56944444444444442</v>
      </c>
      <c r="D33" s="13">
        <v>0.61111111111111116</v>
      </c>
      <c r="E33" s="30">
        <v>0</v>
      </c>
      <c r="F33" s="30">
        <f t="shared" si="1"/>
        <v>1</v>
      </c>
      <c r="G33" s="29">
        <f t="shared" si="2"/>
        <v>1</v>
      </c>
      <c r="H33" s="16"/>
    </row>
    <row r="34" spans="1:8" x14ac:dyDescent="0.3">
      <c r="A34" s="15">
        <v>46108</v>
      </c>
      <c r="B34" s="11">
        <f t="shared" si="0"/>
        <v>13</v>
      </c>
      <c r="C34" s="12">
        <v>0.67152777777777772</v>
      </c>
      <c r="D34" s="13">
        <v>0.83819444444444446</v>
      </c>
      <c r="E34" s="30">
        <v>0</v>
      </c>
      <c r="F34" s="30">
        <f t="shared" si="1"/>
        <v>4</v>
      </c>
      <c r="G34" s="29">
        <f t="shared" si="2"/>
        <v>4</v>
      </c>
      <c r="H34" s="16"/>
    </row>
    <row r="35" spans="1:8" x14ac:dyDescent="0.3">
      <c r="A35" s="15">
        <v>46108</v>
      </c>
      <c r="B35" s="11">
        <f t="shared" si="0"/>
        <v>13</v>
      </c>
      <c r="C35" s="12">
        <v>0.90694444444444444</v>
      </c>
      <c r="D35" s="13">
        <v>0.94861111111111107</v>
      </c>
      <c r="E35" s="30">
        <v>0</v>
      </c>
      <c r="F35" s="30">
        <f t="shared" si="1"/>
        <v>1</v>
      </c>
      <c r="G35" s="29">
        <f t="shared" si="2"/>
        <v>1</v>
      </c>
      <c r="H35" s="16"/>
    </row>
    <row r="36" spans="1:8" x14ac:dyDescent="0.3">
      <c r="A36" s="15">
        <v>46119</v>
      </c>
      <c r="B36" s="11">
        <f t="shared" si="0"/>
        <v>15</v>
      </c>
      <c r="C36" s="12">
        <v>0.73124999999999996</v>
      </c>
      <c r="D36" s="13">
        <v>0.8979166666666667</v>
      </c>
      <c r="E36" s="30">
        <v>0</v>
      </c>
      <c r="F36" s="30">
        <f t="shared" si="1"/>
        <v>4</v>
      </c>
      <c r="G36" s="29">
        <f t="shared" si="2"/>
        <v>4</v>
      </c>
      <c r="H36" s="16"/>
    </row>
    <row r="37" spans="1:8" x14ac:dyDescent="0.3">
      <c r="A37" s="15">
        <v>46119</v>
      </c>
      <c r="B37" s="11">
        <f t="shared" si="0"/>
        <v>15</v>
      </c>
      <c r="C37" s="12">
        <v>0.88680555555555551</v>
      </c>
      <c r="D37" s="13">
        <v>0.97013888888888888</v>
      </c>
      <c r="E37" s="30">
        <v>0</v>
      </c>
      <c r="F37" s="30">
        <f t="shared" si="1"/>
        <v>2</v>
      </c>
      <c r="G37" s="29">
        <f t="shared" si="2"/>
        <v>2</v>
      </c>
      <c r="H37" s="16"/>
    </row>
    <row r="38" spans="1:8" x14ac:dyDescent="0.3">
      <c r="A38" s="15">
        <v>46120</v>
      </c>
      <c r="B38" s="11">
        <f t="shared" si="0"/>
        <v>15</v>
      </c>
      <c r="C38" s="12">
        <v>0.80694444444444446</v>
      </c>
      <c r="D38" s="13">
        <v>0.89027777777777772</v>
      </c>
      <c r="E38" s="30">
        <v>0</v>
      </c>
      <c r="F38" s="30">
        <f t="shared" si="1"/>
        <v>2</v>
      </c>
      <c r="G38" s="29">
        <f t="shared" si="2"/>
        <v>2</v>
      </c>
      <c r="H38" s="16"/>
    </row>
    <row r="39" spans="1:8" x14ac:dyDescent="0.3">
      <c r="A39" s="15">
        <v>46120</v>
      </c>
      <c r="B39" s="11">
        <f t="shared" si="0"/>
        <v>15</v>
      </c>
      <c r="C39" s="12">
        <v>0.74791666666666667</v>
      </c>
      <c r="D39" s="13">
        <v>0.9145833333333333</v>
      </c>
      <c r="E39" s="30">
        <v>0</v>
      </c>
      <c r="F39" s="30">
        <f t="shared" si="1"/>
        <v>4</v>
      </c>
      <c r="G39" s="29">
        <f t="shared" si="2"/>
        <v>4</v>
      </c>
      <c r="H39" s="16"/>
    </row>
    <row r="40" spans="1:8" x14ac:dyDescent="0.3">
      <c r="A40" s="15">
        <v>46121</v>
      </c>
      <c r="B40" s="11">
        <f t="shared" si="0"/>
        <v>15</v>
      </c>
      <c r="C40" s="12">
        <v>0.41597222222222224</v>
      </c>
      <c r="D40" s="13">
        <v>0.54097222222222219</v>
      </c>
      <c r="E40" s="30">
        <v>0</v>
      </c>
      <c r="F40" s="30">
        <f t="shared" si="1"/>
        <v>3</v>
      </c>
      <c r="G40" s="29">
        <f t="shared" si="2"/>
        <v>3</v>
      </c>
      <c r="H40" s="16"/>
    </row>
    <row r="41" spans="1:8" x14ac:dyDescent="0.3">
      <c r="A41" s="15">
        <v>46122</v>
      </c>
      <c r="B41" s="11">
        <f t="shared" si="0"/>
        <v>15</v>
      </c>
      <c r="C41" s="12">
        <v>0.43819444444444444</v>
      </c>
      <c r="D41" s="13">
        <v>0.52152777777777781</v>
      </c>
      <c r="E41" s="30">
        <v>0</v>
      </c>
      <c r="F41" s="30">
        <f t="shared" si="1"/>
        <v>2</v>
      </c>
      <c r="G41" s="29">
        <f t="shared" si="2"/>
        <v>2</v>
      </c>
      <c r="H41" s="16"/>
    </row>
    <row r="42" spans="1:8" x14ac:dyDescent="0.3">
      <c r="A42" s="15">
        <v>46122</v>
      </c>
      <c r="B42" s="11">
        <f t="shared" si="0"/>
        <v>15</v>
      </c>
      <c r="C42" s="12">
        <v>0.87986111111111109</v>
      </c>
      <c r="D42" s="13">
        <v>0.96319444444444446</v>
      </c>
      <c r="E42" s="30">
        <v>0</v>
      </c>
      <c r="F42" s="30">
        <f t="shared" si="1"/>
        <v>2</v>
      </c>
      <c r="G42" s="29">
        <f t="shared" si="2"/>
        <v>2</v>
      </c>
      <c r="H42" s="16"/>
    </row>
    <row r="43" spans="1:8" x14ac:dyDescent="0.3">
      <c r="A43" s="15">
        <v>46126</v>
      </c>
      <c r="B43" s="11">
        <f t="shared" si="0"/>
        <v>16</v>
      </c>
      <c r="C43" s="12">
        <v>0.73611111111111116</v>
      </c>
      <c r="D43" s="13">
        <v>0.86111111111111116</v>
      </c>
      <c r="E43" s="30">
        <v>0</v>
      </c>
      <c r="F43" s="30">
        <f t="shared" si="1"/>
        <v>3</v>
      </c>
      <c r="G43" s="29">
        <f t="shared" si="2"/>
        <v>3</v>
      </c>
      <c r="H43" s="16"/>
    </row>
    <row r="44" spans="1:8" x14ac:dyDescent="0.3">
      <c r="A44" s="15">
        <v>46129</v>
      </c>
      <c r="B44" s="11">
        <f t="shared" si="0"/>
        <v>16</v>
      </c>
      <c r="C44" s="12">
        <v>0.49861111111111112</v>
      </c>
      <c r="D44" s="13">
        <v>0.54027777777777775</v>
      </c>
      <c r="E44" s="30">
        <v>0</v>
      </c>
      <c r="F44" s="30">
        <f t="shared" si="1"/>
        <v>1</v>
      </c>
      <c r="G44" s="29">
        <f t="shared" si="2"/>
        <v>1</v>
      </c>
      <c r="H44" s="16"/>
    </row>
    <row r="45" spans="1:8" x14ac:dyDescent="0.3">
      <c r="A45" s="15">
        <v>46131</v>
      </c>
      <c r="B45" s="11">
        <f t="shared" si="0"/>
        <v>16</v>
      </c>
      <c r="C45" s="12">
        <v>0.74305555555555558</v>
      </c>
      <c r="D45" s="13">
        <v>0.90972222222222221</v>
      </c>
      <c r="E45" s="30">
        <v>0</v>
      </c>
      <c r="F45" s="30">
        <f t="shared" si="1"/>
        <v>4</v>
      </c>
      <c r="G45" s="29">
        <f t="shared" si="2"/>
        <v>4</v>
      </c>
      <c r="H45" s="16"/>
    </row>
    <row r="46" spans="1:8" x14ac:dyDescent="0.3">
      <c r="A46" s="15">
        <v>46132</v>
      </c>
      <c r="B46" s="11">
        <f t="shared" si="0"/>
        <v>17</v>
      </c>
      <c r="C46" s="12">
        <v>0.8</v>
      </c>
      <c r="D46" s="13">
        <v>0.92500000000000004</v>
      </c>
      <c r="E46" s="30">
        <v>0</v>
      </c>
      <c r="F46" s="30">
        <f t="shared" si="1"/>
        <v>3</v>
      </c>
      <c r="G46" s="29">
        <f t="shared" si="2"/>
        <v>3</v>
      </c>
      <c r="H46" s="16"/>
    </row>
    <row r="47" spans="1:8" x14ac:dyDescent="0.3">
      <c r="A47" s="15">
        <v>46133</v>
      </c>
      <c r="B47" s="11">
        <f t="shared" si="0"/>
        <v>17</v>
      </c>
      <c r="C47" s="12">
        <v>0.71527777777777779</v>
      </c>
      <c r="D47" s="13">
        <v>0.92361111111111116</v>
      </c>
      <c r="E47" s="30">
        <v>0</v>
      </c>
      <c r="F47" s="30">
        <f t="shared" si="1"/>
        <v>5</v>
      </c>
      <c r="G47" s="29">
        <f t="shared" si="2"/>
        <v>5</v>
      </c>
      <c r="H47" s="16"/>
    </row>
    <row r="48" spans="1:8" x14ac:dyDescent="0.3">
      <c r="A48" s="15">
        <v>46134</v>
      </c>
      <c r="B48" s="11">
        <f t="shared" si="0"/>
        <v>17</v>
      </c>
      <c r="C48" s="12">
        <v>0.57916666666666672</v>
      </c>
      <c r="D48" s="13">
        <v>0.66249999999999998</v>
      </c>
      <c r="E48" s="30">
        <v>0</v>
      </c>
      <c r="F48" s="30">
        <f t="shared" si="1"/>
        <v>2</v>
      </c>
      <c r="G48" s="29">
        <f t="shared" si="2"/>
        <v>2</v>
      </c>
      <c r="H48" s="16"/>
    </row>
    <row r="49" spans="1:8" x14ac:dyDescent="0.3">
      <c r="A49" s="15">
        <v>46134</v>
      </c>
      <c r="B49" s="11">
        <f t="shared" si="0"/>
        <v>17</v>
      </c>
      <c r="C49" s="12">
        <v>0.77777777777777779</v>
      </c>
      <c r="D49" s="13">
        <v>0.94444444444444442</v>
      </c>
      <c r="E49" s="30">
        <v>0</v>
      </c>
      <c r="F49" s="30">
        <f t="shared" si="1"/>
        <v>4</v>
      </c>
      <c r="G49" s="29">
        <f t="shared" si="2"/>
        <v>4</v>
      </c>
      <c r="H49" s="16"/>
    </row>
    <row r="50" spans="1:8" x14ac:dyDescent="0.3">
      <c r="A50" s="15">
        <v>46135</v>
      </c>
      <c r="B50" s="11">
        <f t="shared" si="0"/>
        <v>17</v>
      </c>
      <c r="C50" s="12">
        <v>0.43611111111111112</v>
      </c>
      <c r="D50" s="13">
        <v>0.51944444444444449</v>
      </c>
      <c r="E50" s="30">
        <v>0</v>
      </c>
      <c r="F50" s="30">
        <f t="shared" si="1"/>
        <v>2</v>
      </c>
      <c r="G50" s="29">
        <f t="shared" si="2"/>
        <v>2</v>
      </c>
      <c r="H50" s="16"/>
    </row>
    <row r="51" spans="1:8" x14ac:dyDescent="0.3">
      <c r="A51" s="15">
        <v>46135</v>
      </c>
      <c r="B51" s="11">
        <f t="shared" si="0"/>
        <v>17</v>
      </c>
      <c r="C51" s="12">
        <v>0.67638888888888893</v>
      </c>
      <c r="D51" s="13">
        <v>0.84305555555555556</v>
      </c>
      <c r="E51" s="30">
        <v>0</v>
      </c>
      <c r="F51" s="30">
        <f t="shared" si="1"/>
        <v>4</v>
      </c>
      <c r="G51" s="29">
        <f t="shared" si="2"/>
        <v>4</v>
      </c>
      <c r="H51" s="16"/>
    </row>
    <row r="52" spans="1:8" x14ac:dyDescent="0.3">
      <c r="A52" s="15">
        <v>46136</v>
      </c>
      <c r="B52" s="11">
        <f t="shared" si="0"/>
        <v>17</v>
      </c>
      <c r="C52" s="12">
        <v>0.86736111111111114</v>
      </c>
      <c r="D52" s="13">
        <v>0.9506944444444444</v>
      </c>
      <c r="E52" s="30">
        <v>0</v>
      </c>
      <c r="F52" s="30">
        <f t="shared" si="1"/>
        <v>2</v>
      </c>
      <c r="G52" s="29">
        <f t="shared" si="2"/>
        <v>2</v>
      </c>
      <c r="H52" s="16"/>
    </row>
    <row r="53" spans="1:8" x14ac:dyDescent="0.3">
      <c r="A53" s="15"/>
      <c r="B53" s="11" t="e">
        <f t="shared" si="0"/>
        <v>#NUM!</v>
      </c>
      <c r="C53" s="12"/>
      <c r="D53" s="13"/>
      <c r="E53" s="30">
        <v>0</v>
      </c>
      <c r="F53" s="30">
        <f t="shared" si="1"/>
        <v>0</v>
      </c>
      <c r="G53" s="29">
        <f t="shared" si="2"/>
        <v>0</v>
      </c>
      <c r="H53" s="16"/>
    </row>
    <row r="54" spans="1:8" x14ac:dyDescent="0.3">
      <c r="A54" s="15"/>
      <c r="B54" s="11" t="e">
        <f t="shared" si="0"/>
        <v>#NUM!</v>
      </c>
      <c r="C54" s="12"/>
      <c r="D54" s="13"/>
      <c r="E54" s="30"/>
      <c r="F54" s="30">
        <f t="shared" si="1"/>
        <v>0</v>
      </c>
      <c r="G54" s="29">
        <f t="shared" si="2"/>
        <v>0</v>
      </c>
      <c r="H54" s="16"/>
    </row>
    <row r="55" spans="1:8" x14ac:dyDescent="0.3">
      <c r="A55" s="15"/>
      <c r="B55" s="11" t="e">
        <f t="shared" si="0"/>
        <v>#NUM!</v>
      </c>
      <c r="C55" s="12"/>
      <c r="D55" s="13"/>
      <c r="E55" s="30"/>
      <c r="F55" s="30">
        <f t="shared" si="1"/>
        <v>0</v>
      </c>
      <c r="G55" s="29">
        <f t="shared" si="2"/>
        <v>0</v>
      </c>
      <c r="H55" s="16"/>
    </row>
    <row r="56" spans="1:8" x14ac:dyDescent="0.3">
      <c r="A56" s="15"/>
      <c r="B56" s="11" t="e">
        <f t="shared" si="0"/>
        <v>#NUM!</v>
      </c>
      <c r="C56" s="12"/>
      <c r="D56" s="13"/>
      <c r="E56" s="30"/>
      <c r="F56" s="30">
        <f t="shared" si="1"/>
        <v>0</v>
      </c>
      <c r="G56" s="29">
        <f t="shared" si="2"/>
        <v>0</v>
      </c>
      <c r="H56" s="16"/>
    </row>
    <row r="57" spans="1:8" x14ac:dyDescent="0.3">
      <c r="A57" s="15"/>
      <c r="B57" s="11" t="e">
        <f t="shared" si="0"/>
        <v>#NUM!</v>
      </c>
      <c r="C57" s="12"/>
      <c r="D57" s="13"/>
      <c r="E57" s="30"/>
      <c r="F57" s="30">
        <f t="shared" si="1"/>
        <v>0</v>
      </c>
      <c r="G57" s="29">
        <f t="shared" si="2"/>
        <v>0</v>
      </c>
      <c r="H57" s="16"/>
    </row>
    <row r="58" spans="1:8" x14ac:dyDescent="0.3">
      <c r="A58" s="15"/>
      <c r="B58" s="11" t="e">
        <f t="shared" si="0"/>
        <v>#NUM!</v>
      </c>
      <c r="C58" s="12"/>
      <c r="D58" s="13"/>
      <c r="E58" s="30"/>
      <c r="F58" s="30">
        <f t="shared" si="1"/>
        <v>0</v>
      </c>
      <c r="G58" s="29">
        <f t="shared" si="2"/>
        <v>0</v>
      </c>
      <c r="H58" s="16"/>
    </row>
    <row r="59" spans="1:8" x14ac:dyDescent="0.3">
      <c r="A59" s="15"/>
      <c r="B59" s="11" t="e">
        <f t="shared" si="0"/>
        <v>#NUM!</v>
      </c>
      <c r="C59" s="12"/>
      <c r="D59" s="13"/>
      <c r="E59" s="30"/>
      <c r="F59" s="30">
        <f t="shared" si="1"/>
        <v>0</v>
      </c>
      <c r="G59" s="29">
        <f t="shared" si="2"/>
        <v>0</v>
      </c>
      <c r="H59" s="16"/>
    </row>
    <row r="60" spans="1:8" x14ac:dyDescent="0.3">
      <c r="A60" s="15"/>
      <c r="B60" s="11" t="e">
        <f t="shared" si="0"/>
        <v>#NUM!</v>
      </c>
      <c r="C60" s="12"/>
      <c r="D60" s="13"/>
      <c r="E60" s="30"/>
      <c r="F60" s="30">
        <f t="shared" si="1"/>
        <v>0</v>
      </c>
      <c r="G60" s="29">
        <f t="shared" si="2"/>
        <v>0</v>
      </c>
      <c r="H60" s="16"/>
    </row>
    <row r="61" spans="1:8" x14ac:dyDescent="0.3">
      <c r="A61" s="15"/>
      <c r="B61" s="11" t="e">
        <f t="shared" si="0"/>
        <v>#NUM!</v>
      </c>
      <c r="C61" s="12"/>
      <c r="D61" s="13"/>
      <c r="E61" s="30"/>
      <c r="F61" s="30">
        <f t="shared" si="1"/>
        <v>0</v>
      </c>
      <c r="G61" s="29">
        <f t="shared" si="2"/>
        <v>0</v>
      </c>
      <c r="H61" s="16"/>
    </row>
    <row r="62" spans="1:8" x14ac:dyDescent="0.3">
      <c r="A62" s="15"/>
      <c r="B62" s="11" t="e">
        <f t="shared" si="0"/>
        <v>#NUM!</v>
      </c>
      <c r="C62" s="12"/>
      <c r="D62" s="13"/>
      <c r="E62" s="30"/>
      <c r="F62" s="30">
        <f t="shared" si="1"/>
        <v>0</v>
      </c>
      <c r="G62" s="29">
        <f t="shared" si="2"/>
        <v>0</v>
      </c>
      <c r="H62" s="16"/>
    </row>
    <row r="63" spans="1:8" x14ac:dyDescent="0.3">
      <c r="A63" s="15"/>
      <c r="B63" s="11" t="e">
        <f t="shared" si="0"/>
        <v>#NUM!</v>
      </c>
      <c r="C63" s="12"/>
      <c r="D63" s="13"/>
      <c r="E63" s="30"/>
      <c r="F63" s="30">
        <f t="shared" si="1"/>
        <v>0</v>
      </c>
      <c r="G63" s="29">
        <f t="shared" si="2"/>
        <v>0</v>
      </c>
      <c r="H63" s="16"/>
    </row>
    <row r="64" spans="1:8" x14ac:dyDescent="0.3">
      <c r="A64" s="15"/>
      <c r="B64" s="11" t="e">
        <f t="shared" si="0"/>
        <v>#NUM!</v>
      </c>
      <c r="C64" s="12"/>
      <c r="D64" s="13"/>
      <c r="E64" s="30"/>
      <c r="F64" s="30">
        <f t="shared" si="1"/>
        <v>0</v>
      </c>
      <c r="G64" s="29">
        <f t="shared" si="2"/>
        <v>0</v>
      </c>
      <c r="H64" s="16"/>
    </row>
    <row r="65" spans="1:8" x14ac:dyDescent="0.3">
      <c r="A65" s="15"/>
      <c r="B65" s="11" t="e">
        <f t="shared" si="0"/>
        <v>#NUM!</v>
      </c>
      <c r="C65" s="12"/>
      <c r="D65" s="13"/>
      <c r="E65" s="30"/>
      <c r="F65" s="30">
        <f t="shared" si="1"/>
        <v>0</v>
      </c>
      <c r="G65" s="29">
        <f t="shared" si="2"/>
        <v>0</v>
      </c>
      <c r="H65" s="16"/>
    </row>
    <row r="66" spans="1:8" x14ac:dyDescent="0.3">
      <c r="A66" s="15"/>
      <c r="B66" s="11" t="e">
        <f t="shared" si="0"/>
        <v>#NUM!</v>
      </c>
      <c r="C66" s="12"/>
      <c r="D66" s="13"/>
      <c r="E66" s="30"/>
      <c r="F66" s="30">
        <f t="shared" si="1"/>
        <v>0</v>
      </c>
      <c r="G66" s="29">
        <f t="shared" si="2"/>
        <v>0</v>
      </c>
      <c r="H66" s="16"/>
    </row>
    <row r="67" spans="1:8" x14ac:dyDescent="0.3">
      <c r="A67" s="15"/>
      <c r="B67" s="11" t="e">
        <f t="shared" si="0"/>
        <v>#NUM!</v>
      </c>
      <c r="C67" s="12"/>
      <c r="D67" s="13"/>
      <c r="E67" s="30"/>
      <c r="F67" s="30">
        <f t="shared" si="1"/>
        <v>0</v>
      </c>
      <c r="G67" s="29">
        <f t="shared" si="2"/>
        <v>0</v>
      </c>
      <c r="H67" s="16"/>
    </row>
    <row r="68" spans="1:8" x14ac:dyDescent="0.3">
      <c r="A68" s="15"/>
      <c r="B68" s="11" t="e">
        <f t="shared" si="0"/>
        <v>#NUM!</v>
      </c>
      <c r="C68" s="12"/>
      <c r="D68" s="13"/>
      <c r="E68" s="30"/>
      <c r="F68" s="30">
        <f t="shared" si="1"/>
        <v>0</v>
      </c>
      <c r="G68" s="29">
        <f t="shared" si="2"/>
        <v>0</v>
      </c>
      <c r="H68" s="16"/>
    </row>
    <row r="69" spans="1:8" x14ac:dyDescent="0.3">
      <c r="A69" s="15"/>
      <c r="B69" s="11" t="e">
        <f t="shared" si="0"/>
        <v>#NUM!</v>
      </c>
      <c r="C69" s="12"/>
      <c r="D69" s="13"/>
      <c r="E69" s="30"/>
      <c r="F69" s="30">
        <f t="shared" si="1"/>
        <v>0</v>
      </c>
      <c r="G69" s="29">
        <f t="shared" si="2"/>
        <v>0</v>
      </c>
      <c r="H69" s="16"/>
    </row>
    <row r="70" spans="1:8" x14ac:dyDescent="0.3">
      <c r="A70" s="15"/>
      <c r="B70" s="11" t="e">
        <f t="shared" ref="B70:B133" si="3">TRUNC((A70-DATE(YEAR(A70+3-MOD(A70-2,7)),1,MOD(A70-2,7)-9))/7)</f>
        <v>#NUM!</v>
      </c>
      <c r="C70" s="12"/>
      <c r="D70" s="13"/>
      <c r="E70" s="30"/>
      <c r="F70" s="30">
        <f t="shared" si="1"/>
        <v>0</v>
      </c>
      <c r="G70" s="29">
        <f t="shared" ref="G70:G133" si="4">HOUR($D70-$C70)+MINUTE($D70-$C70)/60</f>
        <v>0</v>
      </c>
      <c r="H70" s="16"/>
    </row>
    <row r="71" spans="1:8" x14ac:dyDescent="0.3">
      <c r="A71" s="15"/>
      <c r="B71" s="11" t="e">
        <f t="shared" si="3"/>
        <v>#NUM!</v>
      </c>
      <c r="C71" s="12"/>
      <c r="D71" s="13"/>
      <c r="E71" s="30"/>
      <c r="F71" s="30">
        <f t="shared" ref="F71:F134" si="5">G71-E71</f>
        <v>0</v>
      </c>
      <c r="G71" s="29">
        <f t="shared" si="4"/>
        <v>0</v>
      </c>
      <c r="H71" s="16"/>
    </row>
    <row r="72" spans="1:8" x14ac:dyDescent="0.3">
      <c r="A72" s="15"/>
      <c r="B72" s="11" t="e">
        <f t="shared" si="3"/>
        <v>#NUM!</v>
      </c>
      <c r="C72" s="12"/>
      <c r="D72" s="13"/>
      <c r="E72" s="30"/>
      <c r="F72" s="30">
        <f t="shared" si="5"/>
        <v>0</v>
      </c>
      <c r="G72" s="29">
        <f t="shared" si="4"/>
        <v>0</v>
      </c>
      <c r="H72" s="16"/>
    </row>
    <row r="73" spans="1:8" x14ac:dyDescent="0.3">
      <c r="A73" s="15"/>
      <c r="B73" s="11" t="e">
        <f t="shared" si="3"/>
        <v>#NUM!</v>
      </c>
      <c r="C73" s="12"/>
      <c r="D73" s="13"/>
      <c r="E73" s="30"/>
      <c r="F73" s="30">
        <f t="shared" si="5"/>
        <v>0</v>
      </c>
      <c r="G73" s="29">
        <f t="shared" si="4"/>
        <v>0</v>
      </c>
      <c r="H73" s="16"/>
    </row>
    <row r="74" spans="1:8" x14ac:dyDescent="0.3">
      <c r="A74" s="15"/>
      <c r="B74" s="11" t="e">
        <f t="shared" si="3"/>
        <v>#NUM!</v>
      </c>
      <c r="C74" s="12"/>
      <c r="D74" s="13"/>
      <c r="E74" s="30"/>
      <c r="F74" s="30">
        <f t="shared" si="5"/>
        <v>0</v>
      </c>
      <c r="G74" s="29">
        <f t="shared" si="4"/>
        <v>0</v>
      </c>
      <c r="H74" s="16"/>
    </row>
    <row r="75" spans="1:8" x14ac:dyDescent="0.3">
      <c r="A75" s="15"/>
      <c r="B75" s="11" t="e">
        <f t="shared" si="3"/>
        <v>#NUM!</v>
      </c>
      <c r="C75" s="12"/>
      <c r="D75" s="13"/>
      <c r="E75" s="30"/>
      <c r="F75" s="30">
        <f t="shared" si="5"/>
        <v>0</v>
      </c>
      <c r="G75" s="29">
        <f t="shared" si="4"/>
        <v>0</v>
      </c>
      <c r="H75" s="16"/>
    </row>
    <row r="76" spans="1:8" x14ac:dyDescent="0.3">
      <c r="A76" s="15"/>
      <c r="B76" s="11" t="e">
        <f t="shared" si="3"/>
        <v>#NUM!</v>
      </c>
      <c r="C76" s="12"/>
      <c r="D76" s="13"/>
      <c r="E76" s="30"/>
      <c r="F76" s="30">
        <f t="shared" si="5"/>
        <v>0</v>
      </c>
      <c r="G76" s="29">
        <f t="shared" si="4"/>
        <v>0</v>
      </c>
      <c r="H76" s="16"/>
    </row>
    <row r="77" spans="1:8" x14ac:dyDescent="0.3">
      <c r="A77" s="15"/>
      <c r="B77" s="11" t="e">
        <f t="shared" si="3"/>
        <v>#NUM!</v>
      </c>
      <c r="C77" s="12"/>
      <c r="D77" s="13"/>
      <c r="E77" s="30"/>
      <c r="F77" s="30">
        <f t="shared" si="5"/>
        <v>0</v>
      </c>
      <c r="G77" s="29">
        <f t="shared" si="4"/>
        <v>0</v>
      </c>
      <c r="H77" s="16"/>
    </row>
    <row r="78" spans="1:8" x14ac:dyDescent="0.3">
      <c r="A78" s="15"/>
      <c r="B78" s="11" t="e">
        <f t="shared" si="3"/>
        <v>#NUM!</v>
      </c>
      <c r="C78" s="12"/>
      <c r="D78" s="13"/>
      <c r="E78" s="30"/>
      <c r="F78" s="30">
        <f t="shared" si="5"/>
        <v>0</v>
      </c>
      <c r="G78" s="29">
        <f t="shared" si="4"/>
        <v>0</v>
      </c>
      <c r="H78" s="16"/>
    </row>
    <row r="79" spans="1:8" x14ac:dyDescent="0.3">
      <c r="A79" s="15"/>
      <c r="B79" s="11" t="e">
        <f t="shared" si="3"/>
        <v>#NUM!</v>
      </c>
      <c r="C79" s="12"/>
      <c r="D79" s="13"/>
      <c r="E79" s="30"/>
      <c r="F79" s="30">
        <f t="shared" si="5"/>
        <v>0</v>
      </c>
      <c r="G79" s="29">
        <f t="shared" si="4"/>
        <v>0</v>
      </c>
      <c r="H79" s="16"/>
    </row>
    <row r="80" spans="1:8" x14ac:dyDescent="0.3">
      <c r="A80" s="15"/>
      <c r="B80" s="11" t="e">
        <f t="shared" si="3"/>
        <v>#NUM!</v>
      </c>
      <c r="C80" s="12"/>
      <c r="D80" s="13"/>
      <c r="E80" s="30"/>
      <c r="F80" s="30">
        <f t="shared" si="5"/>
        <v>0</v>
      </c>
      <c r="G80" s="29">
        <f t="shared" si="4"/>
        <v>0</v>
      </c>
      <c r="H80" s="16"/>
    </row>
    <row r="81" spans="1:8" x14ac:dyDescent="0.3">
      <c r="A81" s="15"/>
      <c r="B81" s="11" t="e">
        <f t="shared" si="3"/>
        <v>#NUM!</v>
      </c>
      <c r="C81" s="12"/>
      <c r="D81" s="13"/>
      <c r="E81" s="30"/>
      <c r="F81" s="30">
        <f t="shared" si="5"/>
        <v>0</v>
      </c>
      <c r="G81" s="29">
        <f t="shared" si="4"/>
        <v>0</v>
      </c>
      <c r="H81" s="16"/>
    </row>
    <row r="82" spans="1:8" x14ac:dyDescent="0.3">
      <c r="A82" s="15"/>
      <c r="B82" s="11" t="e">
        <f t="shared" si="3"/>
        <v>#NUM!</v>
      </c>
      <c r="C82" s="12"/>
      <c r="D82" s="13"/>
      <c r="E82" s="30"/>
      <c r="F82" s="30">
        <f t="shared" si="5"/>
        <v>0</v>
      </c>
      <c r="G82" s="29">
        <f t="shared" si="4"/>
        <v>0</v>
      </c>
      <c r="H82" s="16"/>
    </row>
    <row r="83" spans="1:8" x14ac:dyDescent="0.3">
      <c r="A83" s="15"/>
      <c r="B83" s="11" t="e">
        <f t="shared" si="3"/>
        <v>#NUM!</v>
      </c>
      <c r="C83" s="12"/>
      <c r="D83" s="13"/>
      <c r="E83" s="30"/>
      <c r="F83" s="30">
        <f t="shared" si="5"/>
        <v>0</v>
      </c>
      <c r="G83" s="29">
        <f t="shared" si="4"/>
        <v>0</v>
      </c>
      <c r="H83" s="16"/>
    </row>
    <row r="84" spans="1:8" x14ac:dyDescent="0.3">
      <c r="A84" s="15"/>
      <c r="B84" s="11" t="e">
        <f t="shared" si="3"/>
        <v>#NUM!</v>
      </c>
      <c r="C84" s="12"/>
      <c r="D84" s="13"/>
      <c r="E84" s="30"/>
      <c r="F84" s="30">
        <f t="shared" si="5"/>
        <v>0</v>
      </c>
      <c r="G84" s="29">
        <f t="shared" si="4"/>
        <v>0</v>
      </c>
      <c r="H84" s="16"/>
    </row>
    <row r="85" spans="1:8" x14ac:dyDescent="0.3">
      <c r="A85" s="15"/>
      <c r="B85" s="11" t="e">
        <f t="shared" si="3"/>
        <v>#NUM!</v>
      </c>
      <c r="C85" s="12"/>
      <c r="D85" s="13"/>
      <c r="E85" s="30"/>
      <c r="F85" s="30">
        <f t="shared" si="5"/>
        <v>0</v>
      </c>
      <c r="G85" s="29">
        <f t="shared" si="4"/>
        <v>0</v>
      </c>
      <c r="H85" s="16"/>
    </row>
    <row r="86" spans="1:8" x14ac:dyDescent="0.3">
      <c r="A86" s="15"/>
      <c r="B86" s="11" t="e">
        <f t="shared" si="3"/>
        <v>#NUM!</v>
      </c>
      <c r="C86" s="12"/>
      <c r="D86" s="13"/>
      <c r="E86" s="30"/>
      <c r="F86" s="30">
        <f t="shared" si="5"/>
        <v>0</v>
      </c>
      <c r="G86" s="29">
        <f t="shared" si="4"/>
        <v>0</v>
      </c>
      <c r="H86" s="16"/>
    </row>
    <row r="87" spans="1:8" x14ac:dyDescent="0.3">
      <c r="A87" s="15"/>
      <c r="B87" s="11" t="e">
        <f t="shared" si="3"/>
        <v>#NUM!</v>
      </c>
      <c r="C87" s="12"/>
      <c r="D87" s="13"/>
      <c r="E87" s="30"/>
      <c r="F87" s="30">
        <f t="shared" si="5"/>
        <v>0</v>
      </c>
      <c r="G87" s="29">
        <f t="shared" si="4"/>
        <v>0</v>
      </c>
      <c r="H87" s="16"/>
    </row>
    <row r="88" spans="1:8" x14ac:dyDescent="0.3">
      <c r="A88" s="15"/>
      <c r="B88" s="11" t="e">
        <f t="shared" si="3"/>
        <v>#NUM!</v>
      </c>
      <c r="C88" s="12"/>
      <c r="D88" s="13"/>
      <c r="E88" s="30"/>
      <c r="F88" s="30">
        <f t="shared" si="5"/>
        <v>0</v>
      </c>
      <c r="G88" s="29">
        <f t="shared" si="4"/>
        <v>0</v>
      </c>
      <c r="H88" s="16"/>
    </row>
    <row r="89" spans="1:8" x14ac:dyDescent="0.3">
      <c r="A89" s="15"/>
      <c r="B89" s="11" t="e">
        <f t="shared" si="3"/>
        <v>#NUM!</v>
      </c>
      <c r="C89" s="12"/>
      <c r="D89" s="13"/>
      <c r="E89" s="30"/>
      <c r="F89" s="30">
        <f t="shared" si="5"/>
        <v>0</v>
      </c>
      <c r="G89" s="29">
        <f t="shared" si="4"/>
        <v>0</v>
      </c>
      <c r="H89" s="16"/>
    </row>
    <row r="90" spans="1:8" x14ac:dyDescent="0.3">
      <c r="A90" s="15"/>
      <c r="B90" s="11" t="e">
        <f t="shared" si="3"/>
        <v>#NUM!</v>
      </c>
      <c r="C90" s="12"/>
      <c r="D90" s="13"/>
      <c r="E90" s="30"/>
      <c r="F90" s="30">
        <f t="shared" si="5"/>
        <v>0</v>
      </c>
      <c r="G90" s="29">
        <f t="shared" si="4"/>
        <v>0</v>
      </c>
      <c r="H90" s="16"/>
    </row>
    <row r="91" spans="1:8" x14ac:dyDescent="0.3">
      <c r="A91" s="15"/>
      <c r="B91" s="11" t="e">
        <f t="shared" si="3"/>
        <v>#NUM!</v>
      </c>
      <c r="C91" s="12"/>
      <c r="D91" s="13"/>
      <c r="E91" s="30"/>
      <c r="F91" s="30">
        <f t="shared" si="5"/>
        <v>0</v>
      </c>
      <c r="G91" s="29">
        <f t="shared" si="4"/>
        <v>0</v>
      </c>
      <c r="H91" s="16"/>
    </row>
    <row r="92" spans="1:8" x14ac:dyDescent="0.3">
      <c r="A92" s="15"/>
      <c r="B92" s="11" t="e">
        <f t="shared" si="3"/>
        <v>#NUM!</v>
      </c>
      <c r="C92" s="12"/>
      <c r="D92" s="13"/>
      <c r="E92" s="30"/>
      <c r="F92" s="30">
        <f t="shared" si="5"/>
        <v>0</v>
      </c>
      <c r="G92" s="29">
        <f t="shared" si="4"/>
        <v>0</v>
      </c>
      <c r="H92" s="16"/>
    </row>
    <row r="93" spans="1:8" x14ac:dyDescent="0.3">
      <c r="A93" s="15"/>
      <c r="B93" s="11" t="e">
        <f t="shared" si="3"/>
        <v>#NUM!</v>
      </c>
      <c r="C93" s="12"/>
      <c r="D93" s="13"/>
      <c r="E93" s="30"/>
      <c r="F93" s="30">
        <f t="shared" si="5"/>
        <v>0</v>
      </c>
      <c r="G93" s="29">
        <f t="shared" si="4"/>
        <v>0</v>
      </c>
      <c r="H93" s="16"/>
    </row>
    <row r="94" spans="1:8" x14ac:dyDescent="0.3">
      <c r="A94" s="15"/>
      <c r="B94" s="11" t="e">
        <f t="shared" si="3"/>
        <v>#NUM!</v>
      </c>
      <c r="C94" s="12"/>
      <c r="D94" s="13"/>
      <c r="E94" s="30"/>
      <c r="F94" s="30">
        <f t="shared" si="5"/>
        <v>0</v>
      </c>
      <c r="G94" s="29">
        <f t="shared" si="4"/>
        <v>0</v>
      </c>
      <c r="H94" s="16"/>
    </row>
    <row r="95" spans="1:8" x14ac:dyDescent="0.3">
      <c r="A95" s="15"/>
      <c r="B95" s="11" t="e">
        <f t="shared" si="3"/>
        <v>#NUM!</v>
      </c>
      <c r="C95" s="12"/>
      <c r="D95" s="13"/>
      <c r="E95" s="30"/>
      <c r="F95" s="30">
        <f t="shared" si="5"/>
        <v>0</v>
      </c>
      <c r="G95" s="29">
        <f t="shared" si="4"/>
        <v>0</v>
      </c>
      <c r="H95" s="16"/>
    </row>
    <row r="96" spans="1:8" x14ac:dyDescent="0.3">
      <c r="A96" s="15"/>
      <c r="B96" s="11" t="e">
        <f t="shared" si="3"/>
        <v>#NUM!</v>
      </c>
      <c r="C96" s="12"/>
      <c r="D96" s="13"/>
      <c r="E96" s="30"/>
      <c r="F96" s="30">
        <f t="shared" si="5"/>
        <v>0</v>
      </c>
      <c r="G96" s="29">
        <f t="shared" si="4"/>
        <v>0</v>
      </c>
      <c r="H96" s="16"/>
    </row>
    <row r="97" spans="1:8" x14ac:dyDescent="0.3">
      <c r="A97" s="15"/>
      <c r="B97" s="11" t="e">
        <f t="shared" si="3"/>
        <v>#NUM!</v>
      </c>
      <c r="C97" s="12"/>
      <c r="D97" s="13"/>
      <c r="E97" s="30"/>
      <c r="F97" s="30">
        <f t="shared" si="5"/>
        <v>0</v>
      </c>
      <c r="G97" s="29">
        <f t="shared" si="4"/>
        <v>0</v>
      </c>
      <c r="H97" s="16"/>
    </row>
    <row r="98" spans="1:8" x14ac:dyDescent="0.3">
      <c r="A98" s="15"/>
      <c r="B98" s="11" t="e">
        <f t="shared" si="3"/>
        <v>#NUM!</v>
      </c>
      <c r="C98" s="12"/>
      <c r="D98" s="13"/>
      <c r="E98" s="30"/>
      <c r="F98" s="30">
        <f t="shared" si="5"/>
        <v>0</v>
      </c>
      <c r="G98" s="29">
        <f t="shared" si="4"/>
        <v>0</v>
      </c>
      <c r="H98" s="16"/>
    </row>
    <row r="99" spans="1:8" x14ac:dyDescent="0.3">
      <c r="A99" s="15"/>
      <c r="B99" s="11" t="e">
        <f t="shared" si="3"/>
        <v>#NUM!</v>
      </c>
      <c r="C99" s="12"/>
      <c r="D99" s="13"/>
      <c r="E99" s="30"/>
      <c r="F99" s="30">
        <f t="shared" si="5"/>
        <v>0</v>
      </c>
      <c r="G99" s="29">
        <f t="shared" si="4"/>
        <v>0</v>
      </c>
      <c r="H99" s="16"/>
    </row>
    <row r="100" spans="1:8" x14ac:dyDescent="0.3">
      <c r="A100" s="15"/>
      <c r="B100" s="11" t="e">
        <f t="shared" si="3"/>
        <v>#NUM!</v>
      </c>
      <c r="C100" s="12"/>
      <c r="D100" s="13"/>
      <c r="E100" s="30"/>
      <c r="F100" s="30">
        <f t="shared" si="5"/>
        <v>0</v>
      </c>
      <c r="G100" s="29">
        <f t="shared" si="4"/>
        <v>0</v>
      </c>
      <c r="H100" s="16"/>
    </row>
    <row r="101" spans="1:8" x14ac:dyDescent="0.3">
      <c r="A101" s="15"/>
      <c r="B101" s="11" t="e">
        <f t="shared" si="3"/>
        <v>#NUM!</v>
      </c>
      <c r="C101" s="12"/>
      <c r="D101" s="13"/>
      <c r="E101" s="30"/>
      <c r="F101" s="30">
        <f t="shared" si="5"/>
        <v>0</v>
      </c>
      <c r="G101" s="29">
        <f t="shared" si="4"/>
        <v>0</v>
      </c>
      <c r="H101" s="17"/>
    </row>
    <row r="102" spans="1:8" x14ac:dyDescent="0.3">
      <c r="A102" s="15"/>
      <c r="B102" s="11" t="e">
        <f t="shared" si="3"/>
        <v>#NUM!</v>
      </c>
      <c r="C102" s="12"/>
      <c r="D102" s="13"/>
      <c r="E102" s="30"/>
      <c r="F102" s="30">
        <f t="shared" si="5"/>
        <v>0</v>
      </c>
      <c r="G102" s="29">
        <f t="shared" si="4"/>
        <v>0</v>
      </c>
      <c r="H102" s="16"/>
    </row>
    <row r="103" spans="1:8" x14ac:dyDescent="0.3">
      <c r="A103" s="15"/>
      <c r="B103" s="11" t="e">
        <f t="shared" si="3"/>
        <v>#NUM!</v>
      </c>
      <c r="C103" s="12"/>
      <c r="D103" s="13"/>
      <c r="E103" s="30"/>
      <c r="F103" s="30">
        <f t="shared" si="5"/>
        <v>0</v>
      </c>
      <c r="G103" s="29">
        <f t="shared" si="4"/>
        <v>0</v>
      </c>
      <c r="H103" s="16"/>
    </row>
    <row r="104" spans="1:8" x14ac:dyDescent="0.3">
      <c r="A104" s="15"/>
      <c r="B104" s="11" t="e">
        <f t="shared" si="3"/>
        <v>#NUM!</v>
      </c>
      <c r="C104" s="12"/>
      <c r="D104" s="13"/>
      <c r="E104" s="30"/>
      <c r="F104" s="30">
        <f t="shared" si="5"/>
        <v>0</v>
      </c>
      <c r="G104" s="29">
        <f t="shared" si="4"/>
        <v>0</v>
      </c>
      <c r="H104" s="16"/>
    </row>
    <row r="105" spans="1:8" x14ac:dyDescent="0.3">
      <c r="A105" s="15"/>
      <c r="B105" s="11" t="e">
        <f t="shared" si="3"/>
        <v>#NUM!</v>
      </c>
      <c r="C105" s="12"/>
      <c r="D105" s="13"/>
      <c r="E105" s="30"/>
      <c r="F105" s="30">
        <f t="shared" si="5"/>
        <v>0</v>
      </c>
      <c r="G105" s="29">
        <f t="shared" si="4"/>
        <v>0</v>
      </c>
      <c r="H105" s="16"/>
    </row>
    <row r="106" spans="1:8" x14ac:dyDescent="0.3">
      <c r="A106" s="15"/>
      <c r="B106" s="11" t="e">
        <f t="shared" si="3"/>
        <v>#NUM!</v>
      </c>
      <c r="C106" s="12"/>
      <c r="D106" s="13"/>
      <c r="E106" s="30"/>
      <c r="F106" s="30">
        <f t="shared" si="5"/>
        <v>0</v>
      </c>
      <c r="G106" s="29">
        <f t="shared" si="4"/>
        <v>0</v>
      </c>
      <c r="H106" s="16"/>
    </row>
    <row r="107" spans="1:8" x14ac:dyDescent="0.3">
      <c r="A107" s="15"/>
      <c r="B107" s="11" t="e">
        <f t="shared" si="3"/>
        <v>#NUM!</v>
      </c>
      <c r="C107" s="12"/>
      <c r="D107" s="13"/>
      <c r="E107" s="30"/>
      <c r="F107" s="30">
        <f t="shared" si="5"/>
        <v>0</v>
      </c>
      <c r="G107" s="29">
        <f t="shared" si="4"/>
        <v>0</v>
      </c>
      <c r="H107" s="16"/>
    </row>
    <row r="108" spans="1:8" x14ac:dyDescent="0.3">
      <c r="A108" s="15"/>
      <c r="B108" s="11" t="e">
        <f t="shared" si="3"/>
        <v>#NUM!</v>
      </c>
      <c r="C108" s="12"/>
      <c r="D108" s="13"/>
      <c r="E108" s="30"/>
      <c r="F108" s="30">
        <f t="shared" si="5"/>
        <v>0</v>
      </c>
      <c r="G108" s="29">
        <f t="shared" si="4"/>
        <v>0</v>
      </c>
      <c r="H108" s="16"/>
    </row>
    <row r="109" spans="1:8" x14ac:dyDescent="0.3">
      <c r="A109" s="15"/>
      <c r="B109" s="11" t="e">
        <f t="shared" si="3"/>
        <v>#NUM!</v>
      </c>
      <c r="C109" s="12"/>
      <c r="D109" s="13"/>
      <c r="E109" s="30"/>
      <c r="F109" s="30">
        <f t="shared" si="5"/>
        <v>0</v>
      </c>
      <c r="G109" s="29">
        <f t="shared" si="4"/>
        <v>0</v>
      </c>
      <c r="H109" s="16"/>
    </row>
    <row r="110" spans="1:8" x14ac:dyDescent="0.3">
      <c r="A110" s="15"/>
      <c r="B110" s="11" t="e">
        <f t="shared" si="3"/>
        <v>#NUM!</v>
      </c>
      <c r="C110" s="12"/>
      <c r="D110" s="13"/>
      <c r="E110" s="30"/>
      <c r="F110" s="30">
        <f t="shared" si="5"/>
        <v>0</v>
      </c>
      <c r="G110" s="29">
        <f t="shared" si="4"/>
        <v>0</v>
      </c>
      <c r="H110" s="16"/>
    </row>
    <row r="111" spans="1:8" x14ac:dyDescent="0.3">
      <c r="A111" s="15"/>
      <c r="B111" s="11" t="e">
        <f t="shared" si="3"/>
        <v>#NUM!</v>
      </c>
      <c r="C111" s="12"/>
      <c r="D111" s="13"/>
      <c r="E111" s="30"/>
      <c r="F111" s="30">
        <f t="shared" si="5"/>
        <v>0</v>
      </c>
      <c r="G111" s="29">
        <f t="shared" si="4"/>
        <v>0</v>
      </c>
      <c r="H111" s="16"/>
    </row>
    <row r="112" spans="1:8" x14ac:dyDescent="0.3">
      <c r="A112" s="15"/>
      <c r="B112" s="11" t="e">
        <f t="shared" si="3"/>
        <v>#NUM!</v>
      </c>
      <c r="C112" s="12"/>
      <c r="D112" s="13"/>
      <c r="E112" s="30"/>
      <c r="F112" s="30">
        <f t="shared" si="5"/>
        <v>0</v>
      </c>
      <c r="G112" s="29">
        <f t="shared" si="4"/>
        <v>0</v>
      </c>
      <c r="H112" s="16"/>
    </row>
    <row r="113" spans="1:8" x14ac:dyDescent="0.3">
      <c r="A113" s="15"/>
      <c r="B113" s="11" t="e">
        <f t="shared" si="3"/>
        <v>#NUM!</v>
      </c>
      <c r="C113" s="12"/>
      <c r="D113" s="13"/>
      <c r="E113" s="30"/>
      <c r="F113" s="30">
        <f t="shared" si="5"/>
        <v>0</v>
      </c>
      <c r="G113" s="29">
        <f t="shared" si="4"/>
        <v>0</v>
      </c>
      <c r="H113" s="16"/>
    </row>
    <row r="114" spans="1:8" x14ac:dyDescent="0.3">
      <c r="A114" s="15"/>
      <c r="B114" s="11" t="e">
        <f t="shared" si="3"/>
        <v>#NUM!</v>
      </c>
      <c r="C114" s="12"/>
      <c r="D114" s="13"/>
      <c r="E114" s="30"/>
      <c r="F114" s="30">
        <f t="shared" si="5"/>
        <v>0</v>
      </c>
      <c r="G114" s="29">
        <f t="shared" si="4"/>
        <v>0</v>
      </c>
      <c r="H114" s="16"/>
    </row>
    <row r="115" spans="1:8" x14ac:dyDescent="0.3">
      <c r="A115" s="15"/>
      <c r="B115" s="11" t="e">
        <f t="shared" si="3"/>
        <v>#NUM!</v>
      </c>
      <c r="C115" s="12"/>
      <c r="D115" s="13"/>
      <c r="E115" s="30"/>
      <c r="F115" s="30">
        <f t="shared" si="5"/>
        <v>0</v>
      </c>
      <c r="G115" s="29">
        <f t="shared" si="4"/>
        <v>0</v>
      </c>
      <c r="H115" s="16"/>
    </row>
    <row r="116" spans="1:8" x14ac:dyDescent="0.3">
      <c r="A116" s="15"/>
      <c r="B116" s="11" t="e">
        <f t="shared" si="3"/>
        <v>#NUM!</v>
      </c>
      <c r="C116" s="12"/>
      <c r="D116" s="13"/>
      <c r="E116" s="30"/>
      <c r="F116" s="30">
        <f t="shared" si="5"/>
        <v>0</v>
      </c>
      <c r="G116" s="29">
        <f t="shared" si="4"/>
        <v>0</v>
      </c>
      <c r="H116" s="16"/>
    </row>
    <row r="117" spans="1:8" x14ac:dyDescent="0.3">
      <c r="A117" s="15"/>
      <c r="B117" s="11" t="e">
        <f t="shared" si="3"/>
        <v>#NUM!</v>
      </c>
      <c r="C117" s="12"/>
      <c r="D117" s="13"/>
      <c r="E117" s="30"/>
      <c r="F117" s="30">
        <f t="shared" si="5"/>
        <v>0</v>
      </c>
      <c r="G117" s="29">
        <f t="shared" si="4"/>
        <v>0</v>
      </c>
      <c r="H117" s="16"/>
    </row>
    <row r="118" spans="1:8" x14ac:dyDescent="0.3">
      <c r="A118" s="15"/>
      <c r="B118" s="11" t="e">
        <f t="shared" si="3"/>
        <v>#NUM!</v>
      </c>
      <c r="C118" s="12"/>
      <c r="D118" s="13"/>
      <c r="E118" s="30"/>
      <c r="F118" s="30">
        <f t="shared" si="5"/>
        <v>0</v>
      </c>
      <c r="G118" s="29">
        <f t="shared" si="4"/>
        <v>0</v>
      </c>
      <c r="H118" s="16"/>
    </row>
    <row r="119" spans="1:8" x14ac:dyDescent="0.3">
      <c r="A119" s="15"/>
      <c r="B119" s="11" t="e">
        <f t="shared" si="3"/>
        <v>#NUM!</v>
      </c>
      <c r="C119" s="12"/>
      <c r="D119" s="13"/>
      <c r="E119" s="30"/>
      <c r="F119" s="30">
        <f t="shared" si="5"/>
        <v>0</v>
      </c>
      <c r="G119" s="29">
        <f t="shared" si="4"/>
        <v>0</v>
      </c>
      <c r="H119" s="16"/>
    </row>
    <row r="120" spans="1:8" x14ac:dyDescent="0.3">
      <c r="A120" s="15"/>
      <c r="B120" s="11" t="e">
        <f t="shared" si="3"/>
        <v>#NUM!</v>
      </c>
      <c r="C120" s="12"/>
      <c r="D120" s="13"/>
      <c r="E120" s="30"/>
      <c r="F120" s="30">
        <f t="shared" si="5"/>
        <v>0</v>
      </c>
      <c r="G120" s="29">
        <f t="shared" si="4"/>
        <v>0</v>
      </c>
      <c r="H120" s="16"/>
    </row>
    <row r="121" spans="1:8" x14ac:dyDescent="0.3">
      <c r="A121" s="15"/>
      <c r="B121" s="11" t="e">
        <f t="shared" si="3"/>
        <v>#NUM!</v>
      </c>
      <c r="C121" s="12"/>
      <c r="D121" s="13"/>
      <c r="E121" s="30"/>
      <c r="F121" s="30">
        <f t="shared" si="5"/>
        <v>0</v>
      </c>
      <c r="G121" s="29">
        <f t="shared" si="4"/>
        <v>0</v>
      </c>
      <c r="H121" s="16"/>
    </row>
    <row r="122" spans="1:8" x14ac:dyDescent="0.3">
      <c r="A122" s="15"/>
      <c r="B122" s="11" t="e">
        <f t="shared" si="3"/>
        <v>#NUM!</v>
      </c>
      <c r="C122" s="12"/>
      <c r="D122" s="13"/>
      <c r="E122" s="30"/>
      <c r="F122" s="30">
        <f t="shared" si="5"/>
        <v>0</v>
      </c>
      <c r="G122" s="29">
        <f t="shared" si="4"/>
        <v>0</v>
      </c>
      <c r="H122" s="16"/>
    </row>
    <row r="123" spans="1:8" x14ac:dyDescent="0.3">
      <c r="A123" s="15"/>
      <c r="B123" s="11" t="e">
        <f t="shared" si="3"/>
        <v>#NUM!</v>
      </c>
      <c r="C123" s="12"/>
      <c r="D123" s="13"/>
      <c r="E123" s="30"/>
      <c r="F123" s="30">
        <f t="shared" si="5"/>
        <v>0</v>
      </c>
      <c r="G123" s="29">
        <f t="shared" si="4"/>
        <v>0</v>
      </c>
      <c r="H123" s="16"/>
    </row>
    <row r="124" spans="1:8" x14ac:dyDescent="0.3">
      <c r="A124" s="15"/>
      <c r="B124" s="11" t="e">
        <f t="shared" si="3"/>
        <v>#NUM!</v>
      </c>
      <c r="C124" s="12"/>
      <c r="D124" s="13"/>
      <c r="E124" s="30"/>
      <c r="F124" s="30">
        <f t="shared" si="5"/>
        <v>0</v>
      </c>
      <c r="G124" s="29">
        <f t="shared" si="4"/>
        <v>0</v>
      </c>
      <c r="H124" s="16"/>
    </row>
    <row r="125" spans="1:8" x14ac:dyDescent="0.3">
      <c r="A125" s="15"/>
      <c r="B125" s="11" t="e">
        <f t="shared" si="3"/>
        <v>#NUM!</v>
      </c>
      <c r="C125" s="12"/>
      <c r="D125" s="13"/>
      <c r="E125" s="30"/>
      <c r="F125" s="30">
        <f t="shared" si="5"/>
        <v>0</v>
      </c>
      <c r="G125" s="29">
        <f t="shared" si="4"/>
        <v>0</v>
      </c>
      <c r="H125" s="16"/>
    </row>
    <row r="126" spans="1:8" x14ac:dyDescent="0.3">
      <c r="A126" s="15"/>
      <c r="B126" s="11" t="e">
        <f t="shared" si="3"/>
        <v>#NUM!</v>
      </c>
      <c r="C126" s="12"/>
      <c r="D126" s="13"/>
      <c r="E126" s="30"/>
      <c r="F126" s="30">
        <f t="shared" si="5"/>
        <v>0</v>
      </c>
      <c r="G126" s="29">
        <f t="shared" si="4"/>
        <v>0</v>
      </c>
      <c r="H126" s="16"/>
    </row>
    <row r="127" spans="1:8" x14ac:dyDescent="0.3">
      <c r="A127" s="15"/>
      <c r="B127" s="11" t="e">
        <f t="shared" si="3"/>
        <v>#NUM!</v>
      </c>
      <c r="C127" s="12"/>
      <c r="D127" s="13"/>
      <c r="E127" s="30"/>
      <c r="F127" s="30">
        <f t="shared" si="5"/>
        <v>0</v>
      </c>
      <c r="G127" s="29">
        <f t="shared" si="4"/>
        <v>0</v>
      </c>
      <c r="H127" s="16"/>
    </row>
    <row r="128" spans="1:8" x14ac:dyDescent="0.3">
      <c r="A128" s="15"/>
      <c r="B128" s="11" t="e">
        <f t="shared" si="3"/>
        <v>#NUM!</v>
      </c>
      <c r="C128" s="12"/>
      <c r="D128" s="13"/>
      <c r="E128" s="30"/>
      <c r="F128" s="30">
        <f t="shared" si="5"/>
        <v>0</v>
      </c>
      <c r="G128" s="29">
        <f t="shared" si="4"/>
        <v>0</v>
      </c>
      <c r="H128" s="16"/>
    </row>
    <row r="129" spans="1:8" x14ac:dyDescent="0.3">
      <c r="A129" s="15"/>
      <c r="B129" s="11" t="e">
        <f t="shared" si="3"/>
        <v>#NUM!</v>
      </c>
      <c r="C129" s="12"/>
      <c r="D129" s="13"/>
      <c r="E129" s="30"/>
      <c r="F129" s="30">
        <f t="shared" si="5"/>
        <v>0</v>
      </c>
      <c r="G129" s="29">
        <f t="shared" si="4"/>
        <v>0</v>
      </c>
      <c r="H129" s="16"/>
    </row>
    <row r="130" spans="1:8" x14ac:dyDescent="0.3">
      <c r="A130" s="15"/>
      <c r="B130" s="11" t="e">
        <f t="shared" si="3"/>
        <v>#NUM!</v>
      </c>
      <c r="C130" s="12"/>
      <c r="D130" s="13"/>
      <c r="E130" s="30"/>
      <c r="F130" s="30">
        <f t="shared" si="5"/>
        <v>0</v>
      </c>
      <c r="G130" s="29">
        <f t="shared" si="4"/>
        <v>0</v>
      </c>
      <c r="H130" s="16"/>
    </row>
    <row r="131" spans="1:8" x14ac:dyDescent="0.3">
      <c r="A131" s="15"/>
      <c r="B131" s="11" t="e">
        <f t="shared" si="3"/>
        <v>#NUM!</v>
      </c>
      <c r="C131" s="12"/>
      <c r="D131" s="13"/>
      <c r="E131" s="30"/>
      <c r="F131" s="30">
        <f t="shared" si="5"/>
        <v>0</v>
      </c>
      <c r="G131" s="29">
        <f t="shared" si="4"/>
        <v>0</v>
      </c>
      <c r="H131" s="16"/>
    </row>
    <row r="132" spans="1:8" x14ac:dyDescent="0.3">
      <c r="A132" s="15"/>
      <c r="B132" s="11" t="e">
        <f t="shared" si="3"/>
        <v>#NUM!</v>
      </c>
      <c r="C132" s="12"/>
      <c r="D132" s="13"/>
      <c r="E132" s="30"/>
      <c r="F132" s="30">
        <f t="shared" si="5"/>
        <v>0</v>
      </c>
      <c r="G132" s="29">
        <f t="shared" si="4"/>
        <v>0</v>
      </c>
      <c r="H132" s="16"/>
    </row>
    <row r="133" spans="1:8" x14ac:dyDescent="0.3">
      <c r="A133" s="15"/>
      <c r="B133" s="11" t="e">
        <f t="shared" si="3"/>
        <v>#NUM!</v>
      </c>
      <c r="C133" s="12"/>
      <c r="D133" s="13"/>
      <c r="E133" s="30"/>
      <c r="F133" s="30">
        <f t="shared" si="5"/>
        <v>0</v>
      </c>
      <c r="G133" s="29">
        <f t="shared" si="4"/>
        <v>0</v>
      </c>
      <c r="H133" s="16"/>
    </row>
    <row r="134" spans="1:8" x14ac:dyDescent="0.3">
      <c r="A134" s="15"/>
      <c r="B134" s="11" t="e">
        <f t="shared" ref="B134:B197" si="6">TRUNC((A134-DATE(YEAR(A134+3-MOD(A134-2,7)),1,MOD(A134-2,7)-9))/7)</f>
        <v>#NUM!</v>
      </c>
      <c r="C134" s="12"/>
      <c r="D134" s="13"/>
      <c r="E134" s="30"/>
      <c r="F134" s="30">
        <f t="shared" si="5"/>
        <v>0</v>
      </c>
      <c r="G134" s="29">
        <f t="shared" ref="G134:G197" si="7">HOUR($D134-$C134)+MINUTE($D134-$C134)/60</f>
        <v>0</v>
      </c>
      <c r="H134" s="16"/>
    </row>
    <row r="135" spans="1:8" x14ac:dyDescent="0.3">
      <c r="A135" s="15"/>
      <c r="B135" s="11" t="e">
        <f t="shared" si="6"/>
        <v>#NUM!</v>
      </c>
      <c r="C135" s="12"/>
      <c r="D135" s="13"/>
      <c r="E135" s="30"/>
      <c r="F135" s="30">
        <f t="shared" ref="F135:F198" si="8">G135-E135</f>
        <v>0</v>
      </c>
      <c r="G135" s="29">
        <f t="shared" si="7"/>
        <v>0</v>
      </c>
      <c r="H135" s="16"/>
    </row>
    <row r="136" spans="1:8" x14ac:dyDescent="0.3">
      <c r="A136" s="15"/>
      <c r="B136" s="11" t="e">
        <f t="shared" si="6"/>
        <v>#NUM!</v>
      </c>
      <c r="C136" s="12"/>
      <c r="D136" s="13"/>
      <c r="E136" s="30"/>
      <c r="F136" s="30">
        <f t="shared" si="8"/>
        <v>0</v>
      </c>
      <c r="G136" s="29">
        <f t="shared" si="7"/>
        <v>0</v>
      </c>
      <c r="H136" s="16"/>
    </row>
    <row r="137" spans="1:8" x14ac:dyDescent="0.3">
      <c r="A137" s="15"/>
      <c r="B137" s="11" t="e">
        <f t="shared" si="6"/>
        <v>#NUM!</v>
      </c>
      <c r="C137" s="12"/>
      <c r="D137" s="13"/>
      <c r="E137" s="30"/>
      <c r="F137" s="30">
        <f t="shared" si="8"/>
        <v>0</v>
      </c>
      <c r="G137" s="29">
        <f t="shared" si="7"/>
        <v>0</v>
      </c>
      <c r="H137" s="16"/>
    </row>
    <row r="138" spans="1:8" x14ac:dyDescent="0.3">
      <c r="A138" s="15"/>
      <c r="B138" s="11" t="e">
        <f t="shared" si="6"/>
        <v>#NUM!</v>
      </c>
      <c r="C138" s="12"/>
      <c r="D138" s="13"/>
      <c r="E138" s="30"/>
      <c r="F138" s="30">
        <f t="shared" si="8"/>
        <v>0</v>
      </c>
      <c r="G138" s="29">
        <f t="shared" si="7"/>
        <v>0</v>
      </c>
      <c r="H138" s="16"/>
    </row>
    <row r="139" spans="1:8" x14ac:dyDescent="0.3">
      <c r="A139" s="15"/>
      <c r="B139" s="11" t="e">
        <f t="shared" si="6"/>
        <v>#NUM!</v>
      </c>
      <c r="C139" s="12"/>
      <c r="D139" s="13"/>
      <c r="E139" s="30"/>
      <c r="F139" s="30">
        <f t="shared" si="8"/>
        <v>0</v>
      </c>
      <c r="G139" s="29">
        <f t="shared" si="7"/>
        <v>0</v>
      </c>
      <c r="H139" s="16"/>
    </row>
    <row r="140" spans="1:8" x14ac:dyDescent="0.3">
      <c r="A140" s="15"/>
      <c r="B140" s="11" t="e">
        <f t="shared" si="6"/>
        <v>#NUM!</v>
      </c>
      <c r="C140" s="12"/>
      <c r="D140" s="13"/>
      <c r="E140" s="30"/>
      <c r="F140" s="30">
        <f t="shared" si="8"/>
        <v>0</v>
      </c>
      <c r="G140" s="29">
        <f t="shared" si="7"/>
        <v>0</v>
      </c>
      <c r="H140" s="16"/>
    </row>
    <row r="141" spans="1:8" x14ac:dyDescent="0.3">
      <c r="A141" s="15"/>
      <c r="B141" s="11" t="e">
        <f t="shared" si="6"/>
        <v>#NUM!</v>
      </c>
      <c r="C141" s="12"/>
      <c r="D141" s="13"/>
      <c r="E141" s="30"/>
      <c r="F141" s="30">
        <f t="shared" si="8"/>
        <v>0</v>
      </c>
      <c r="G141" s="29">
        <f t="shared" si="7"/>
        <v>0</v>
      </c>
      <c r="H141" s="16"/>
    </row>
    <row r="142" spans="1:8" x14ac:dyDescent="0.3">
      <c r="A142" s="15"/>
      <c r="B142" s="11" t="e">
        <f t="shared" si="6"/>
        <v>#NUM!</v>
      </c>
      <c r="C142" s="12"/>
      <c r="D142" s="13"/>
      <c r="E142" s="30"/>
      <c r="F142" s="30">
        <f t="shared" si="8"/>
        <v>0</v>
      </c>
      <c r="G142" s="29">
        <f t="shared" si="7"/>
        <v>0</v>
      </c>
      <c r="H142" s="16"/>
    </row>
    <row r="143" spans="1:8" x14ac:dyDescent="0.3">
      <c r="A143" s="15"/>
      <c r="B143" s="11" t="e">
        <f t="shared" si="6"/>
        <v>#NUM!</v>
      </c>
      <c r="C143" s="12"/>
      <c r="D143" s="13"/>
      <c r="E143" s="30"/>
      <c r="F143" s="30">
        <f t="shared" si="8"/>
        <v>0</v>
      </c>
      <c r="G143" s="29">
        <f t="shared" si="7"/>
        <v>0</v>
      </c>
      <c r="H143" s="16"/>
    </row>
    <row r="144" spans="1:8" x14ac:dyDescent="0.3">
      <c r="A144" s="15"/>
      <c r="B144" s="11" t="e">
        <f t="shared" si="6"/>
        <v>#NUM!</v>
      </c>
      <c r="C144" s="12"/>
      <c r="D144" s="13"/>
      <c r="E144" s="30"/>
      <c r="F144" s="30">
        <f t="shared" si="8"/>
        <v>0</v>
      </c>
      <c r="G144" s="29">
        <f t="shared" si="7"/>
        <v>0</v>
      </c>
      <c r="H144" s="16"/>
    </row>
    <row r="145" spans="1:8" x14ac:dyDescent="0.3">
      <c r="A145" s="15"/>
      <c r="B145" s="11" t="e">
        <f t="shared" si="6"/>
        <v>#NUM!</v>
      </c>
      <c r="C145" s="12"/>
      <c r="D145" s="13"/>
      <c r="E145" s="30"/>
      <c r="F145" s="30">
        <f t="shared" si="8"/>
        <v>0</v>
      </c>
      <c r="G145" s="29">
        <f t="shared" si="7"/>
        <v>0</v>
      </c>
      <c r="H145" s="16"/>
    </row>
    <row r="146" spans="1:8" x14ac:dyDescent="0.3">
      <c r="A146" s="15"/>
      <c r="B146" s="11" t="e">
        <f t="shared" si="6"/>
        <v>#NUM!</v>
      </c>
      <c r="C146" s="12"/>
      <c r="D146" s="13"/>
      <c r="E146" s="30"/>
      <c r="F146" s="30">
        <f t="shared" si="8"/>
        <v>0</v>
      </c>
      <c r="G146" s="29">
        <f t="shared" si="7"/>
        <v>0</v>
      </c>
      <c r="H146" s="16"/>
    </row>
    <row r="147" spans="1:8" x14ac:dyDescent="0.3">
      <c r="A147" s="15"/>
      <c r="B147" s="11" t="e">
        <f t="shared" si="6"/>
        <v>#NUM!</v>
      </c>
      <c r="C147" s="12"/>
      <c r="D147" s="13"/>
      <c r="E147" s="30"/>
      <c r="F147" s="30">
        <f t="shared" si="8"/>
        <v>0</v>
      </c>
      <c r="G147" s="29">
        <f t="shared" si="7"/>
        <v>0</v>
      </c>
      <c r="H147" s="16"/>
    </row>
    <row r="148" spans="1:8" x14ac:dyDescent="0.3">
      <c r="A148" s="15"/>
      <c r="B148" s="11" t="e">
        <f t="shared" si="6"/>
        <v>#NUM!</v>
      </c>
      <c r="C148" s="12"/>
      <c r="D148" s="13"/>
      <c r="E148" s="30"/>
      <c r="F148" s="30">
        <f t="shared" si="8"/>
        <v>0</v>
      </c>
      <c r="G148" s="29">
        <f t="shared" si="7"/>
        <v>0</v>
      </c>
      <c r="H148" s="16"/>
    </row>
    <row r="149" spans="1:8" x14ac:dyDescent="0.3">
      <c r="A149" s="15"/>
      <c r="B149" s="11" t="e">
        <f t="shared" si="6"/>
        <v>#NUM!</v>
      </c>
      <c r="C149" s="12"/>
      <c r="D149" s="13"/>
      <c r="E149" s="30"/>
      <c r="F149" s="30">
        <f t="shared" si="8"/>
        <v>0</v>
      </c>
      <c r="G149" s="29">
        <f t="shared" si="7"/>
        <v>0</v>
      </c>
      <c r="H149" s="16"/>
    </row>
    <row r="150" spans="1:8" x14ac:dyDescent="0.3">
      <c r="A150" s="15"/>
      <c r="B150" s="11" t="e">
        <f t="shared" si="6"/>
        <v>#NUM!</v>
      </c>
      <c r="C150" s="12"/>
      <c r="D150" s="13"/>
      <c r="E150" s="30"/>
      <c r="F150" s="30">
        <f t="shared" si="8"/>
        <v>0</v>
      </c>
      <c r="G150" s="29">
        <f t="shared" si="7"/>
        <v>0</v>
      </c>
      <c r="H150" s="16"/>
    </row>
    <row r="151" spans="1:8" x14ac:dyDescent="0.3">
      <c r="A151" s="15"/>
      <c r="B151" s="11" t="e">
        <f t="shared" si="6"/>
        <v>#NUM!</v>
      </c>
      <c r="C151" s="12"/>
      <c r="D151" s="13"/>
      <c r="E151" s="30"/>
      <c r="F151" s="30">
        <f t="shared" si="8"/>
        <v>0</v>
      </c>
      <c r="G151" s="29">
        <f t="shared" si="7"/>
        <v>0</v>
      </c>
      <c r="H151" s="16"/>
    </row>
    <row r="152" spans="1:8" x14ac:dyDescent="0.3">
      <c r="A152" s="15"/>
      <c r="B152" s="11" t="e">
        <f t="shared" si="6"/>
        <v>#NUM!</v>
      </c>
      <c r="C152" s="12"/>
      <c r="D152" s="13"/>
      <c r="E152" s="30"/>
      <c r="F152" s="30">
        <f t="shared" si="8"/>
        <v>0</v>
      </c>
      <c r="G152" s="29">
        <f t="shared" si="7"/>
        <v>0</v>
      </c>
      <c r="H152" s="16"/>
    </row>
    <row r="153" spans="1:8" x14ac:dyDescent="0.3">
      <c r="A153" s="15"/>
      <c r="B153" s="11" t="e">
        <f t="shared" si="6"/>
        <v>#NUM!</v>
      </c>
      <c r="C153" s="12"/>
      <c r="D153" s="13"/>
      <c r="E153" s="30"/>
      <c r="F153" s="30">
        <f t="shared" si="8"/>
        <v>0</v>
      </c>
      <c r="G153" s="29">
        <f t="shared" si="7"/>
        <v>0</v>
      </c>
      <c r="H153" s="16"/>
    </row>
    <row r="154" spans="1:8" x14ac:dyDescent="0.3">
      <c r="A154" s="15"/>
      <c r="B154" s="11" t="e">
        <f t="shared" si="6"/>
        <v>#NUM!</v>
      </c>
      <c r="C154" s="12"/>
      <c r="D154" s="13"/>
      <c r="E154" s="30"/>
      <c r="F154" s="30">
        <f t="shared" si="8"/>
        <v>0</v>
      </c>
      <c r="G154" s="29">
        <f t="shared" si="7"/>
        <v>0</v>
      </c>
      <c r="H154" s="16"/>
    </row>
    <row r="155" spans="1:8" x14ac:dyDescent="0.3">
      <c r="A155" s="15"/>
      <c r="B155" s="11" t="e">
        <f t="shared" si="6"/>
        <v>#NUM!</v>
      </c>
      <c r="C155" s="12"/>
      <c r="D155" s="13"/>
      <c r="E155" s="30"/>
      <c r="F155" s="30">
        <f t="shared" si="8"/>
        <v>0</v>
      </c>
      <c r="G155" s="29">
        <f t="shared" si="7"/>
        <v>0</v>
      </c>
      <c r="H155" s="16"/>
    </row>
    <row r="156" spans="1:8" x14ac:dyDescent="0.3">
      <c r="A156" s="15"/>
      <c r="B156" s="11" t="e">
        <f t="shared" si="6"/>
        <v>#NUM!</v>
      </c>
      <c r="C156" s="12"/>
      <c r="D156" s="13"/>
      <c r="E156" s="30"/>
      <c r="F156" s="30">
        <f t="shared" si="8"/>
        <v>0</v>
      </c>
      <c r="G156" s="29">
        <f t="shared" si="7"/>
        <v>0</v>
      </c>
      <c r="H156" s="16"/>
    </row>
    <row r="157" spans="1:8" x14ac:dyDescent="0.3">
      <c r="A157" s="15"/>
      <c r="B157" s="11" t="e">
        <f t="shared" si="6"/>
        <v>#NUM!</v>
      </c>
      <c r="C157" s="12"/>
      <c r="D157" s="13"/>
      <c r="E157" s="30"/>
      <c r="F157" s="30">
        <f t="shared" si="8"/>
        <v>0</v>
      </c>
      <c r="G157" s="29">
        <f t="shared" si="7"/>
        <v>0</v>
      </c>
      <c r="H157" s="16"/>
    </row>
    <row r="158" spans="1:8" x14ac:dyDescent="0.3">
      <c r="A158" s="15"/>
      <c r="B158" s="11" t="e">
        <f t="shared" si="6"/>
        <v>#NUM!</v>
      </c>
      <c r="C158" s="12"/>
      <c r="D158" s="13"/>
      <c r="E158" s="30"/>
      <c r="F158" s="30">
        <f t="shared" si="8"/>
        <v>0</v>
      </c>
      <c r="G158" s="29">
        <f t="shared" si="7"/>
        <v>0</v>
      </c>
      <c r="H158" s="16"/>
    </row>
    <row r="159" spans="1:8" x14ac:dyDescent="0.3">
      <c r="A159" s="15"/>
      <c r="B159" s="11" t="e">
        <f t="shared" si="6"/>
        <v>#NUM!</v>
      </c>
      <c r="C159" s="12"/>
      <c r="D159" s="13"/>
      <c r="E159" s="30"/>
      <c r="F159" s="30">
        <f t="shared" si="8"/>
        <v>0</v>
      </c>
      <c r="G159" s="29">
        <f t="shared" si="7"/>
        <v>0</v>
      </c>
      <c r="H159" s="16"/>
    </row>
    <row r="160" spans="1:8" x14ac:dyDescent="0.3">
      <c r="A160" s="15"/>
      <c r="B160" s="11" t="e">
        <f t="shared" si="6"/>
        <v>#NUM!</v>
      </c>
      <c r="C160" s="12"/>
      <c r="D160" s="13"/>
      <c r="E160" s="30"/>
      <c r="F160" s="30">
        <f t="shared" si="8"/>
        <v>0</v>
      </c>
      <c r="G160" s="29">
        <f t="shared" si="7"/>
        <v>0</v>
      </c>
      <c r="H160" s="16"/>
    </row>
    <row r="161" spans="1:8" x14ac:dyDescent="0.3">
      <c r="A161" s="15"/>
      <c r="B161" s="11" t="e">
        <f t="shared" si="6"/>
        <v>#NUM!</v>
      </c>
      <c r="C161" s="12"/>
      <c r="D161" s="13"/>
      <c r="E161" s="30"/>
      <c r="F161" s="30">
        <f t="shared" si="8"/>
        <v>0</v>
      </c>
      <c r="G161" s="29">
        <f t="shared" si="7"/>
        <v>0</v>
      </c>
      <c r="H161" s="16"/>
    </row>
    <row r="162" spans="1:8" x14ac:dyDescent="0.3">
      <c r="A162" s="15"/>
      <c r="B162" s="11" t="e">
        <f t="shared" si="6"/>
        <v>#NUM!</v>
      </c>
      <c r="C162" s="12"/>
      <c r="D162" s="13"/>
      <c r="E162" s="30"/>
      <c r="F162" s="30">
        <f t="shared" si="8"/>
        <v>0</v>
      </c>
      <c r="G162" s="29">
        <f t="shared" si="7"/>
        <v>0</v>
      </c>
      <c r="H162" s="16"/>
    </row>
    <row r="163" spans="1:8" x14ac:dyDescent="0.3">
      <c r="A163" s="15"/>
      <c r="B163" s="11" t="e">
        <f t="shared" si="6"/>
        <v>#NUM!</v>
      </c>
      <c r="C163" s="12"/>
      <c r="D163" s="13"/>
      <c r="E163" s="30"/>
      <c r="F163" s="30">
        <f t="shared" si="8"/>
        <v>0</v>
      </c>
      <c r="G163" s="29">
        <f t="shared" si="7"/>
        <v>0</v>
      </c>
      <c r="H163" s="16"/>
    </row>
    <row r="164" spans="1:8" x14ac:dyDescent="0.3">
      <c r="A164" s="15"/>
      <c r="B164" s="11" t="e">
        <f t="shared" si="6"/>
        <v>#NUM!</v>
      </c>
      <c r="C164" s="12"/>
      <c r="D164" s="13"/>
      <c r="E164" s="30"/>
      <c r="F164" s="30">
        <f t="shared" si="8"/>
        <v>0</v>
      </c>
      <c r="G164" s="29">
        <f t="shared" si="7"/>
        <v>0</v>
      </c>
      <c r="H164" s="16"/>
    </row>
    <row r="165" spans="1:8" x14ac:dyDescent="0.3">
      <c r="A165" s="15"/>
      <c r="B165" s="11" t="e">
        <f t="shared" si="6"/>
        <v>#NUM!</v>
      </c>
      <c r="C165" s="12"/>
      <c r="D165" s="13"/>
      <c r="E165" s="30"/>
      <c r="F165" s="30">
        <f t="shared" si="8"/>
        <v>0</v>
      </c>
      <c r="G165" s="29">
        <f t="shared" si="7"/>
        <v>0</v>
      </c>
      <c r="H165" s="16"/>
    </row>
    <row r="166" spans="1:8" x14ac:dyDescent="0.3">
      <c r="A166" s="15"/>
      <c r="B166" s="11" t="e">
        <f t="shared" si="6"/>
        <v>#NUM!</v>
      </c>
      <c r="C166" s="12"/>
      <c r="D166" s="13"/>
      <c r="E166" s="30"/>
      <c r="F166" s="30">
        <f t="shared" si="8"/>
        <v>0</v>
      </c>
      <c r="G166" s="29">
        <f t="shared" si="7"/>
        <v>0</v>
      </c>
      <c r="H166" s="16"/>
    </row>
    <row r="167" spans="1:8" x14ac:dyDescent="0.3">
      <c r="A167" s="15"/>
      <c r="B167" s="11" t="e">
        <f t="shared" si="6"/>
        <v>#NUM!</v>
      </c>
      <c r="C167" s="12"/>
      <c r="D167" s="13"/>
      <c r="E167" s="30"/>
      <c r="F167" s="30">
        <f t="shared" si="8"/>
        <v>0</v>
      </c>
      <c r="G167" s="29">
        <f t="shared" si="7"/>
        <v>0</v>
      </c>
      <c r="H167" s="16"/>
    </row>
    <row r="168" spans="1:8" x14ac:dyDescent="0.3">
      <c r="A168" s="15"/>
      <c r="B168" s="11" t="e">
        <f t="shared" si="6"/>
        <v>#NUM!</v>
      </c>
      <c r="C168" s="12"/>
      <c r="D168" s="13"/>
      <c r="E168" s="30"/>
      <c r="F168" s="30">
        <f t="shared" si="8"/>
        <v>0</v>
      </c>
      <c r="G168" s="29">
        <f t="shared" si="7"/>
        <v>0</v>
      </c>
      <c r="H168" s="16"/>
    </row>
    <row r="169" spans="1:8" x14ac:dyDescent="0.3">
      <c r="A169" s="15"/>
      <c r="B169" s="11" t="e">
        <f t="shared" si="6"/>
        <v>#NUM!</v>
      </c>
      <c r="C169" s="12"/>
      <c r="D169" s="13"/>
      <c r="E169" s="30"/>
      <c r="F169" s="30">
        <f t="shared" si="8"/>
        <v>0</v>
      </c>
      <c r="G169" s="29">
        <f t="shared" si="7"/>
        <v>0</v>
      </c>
      <c r="H169" s="16"/>
    </row>
    <row r="170" spans="1:8" x14ac:dyDescent="0.3">
      <c r="A170" s="15"/>
      <c r="B170" s="11" t="e">
        <f t="shared" si="6"/>
        <v>#NUM!</v>
      </c>
      <c r="C170" s="12"/>
      <c r="D170" s="13"/>
      <c r="E170" s="30"/>
      <c r="F170" s="30">
        <f t="shared" si="8"/>
        <v>0</v>
      </c>
      <c r="G170" s="29">
        <f t="shared" si="7"/>
        <v>0</v>
      </c>
      <c r="H170" s="16"/>
    </row>
    <row r="171" spans="1:8" x14ac:dyDescent="0.3">
      <c r="A171" s="15"/>
      <c r="B171" s="11" t="e">
        <f t="shared" si="6"/>
        <v>#NUM!</v>
      </c>
      <c r="C171" s="12"/>
      <c r="D171" s="13"/>
      <c r="E171" s="30"/>
      <c r="F171" s="30">
        <f t="shared" si="8"/>
        <v>0</v>
      </c>
      <c r="G171" s="29">
        <f t="shared" si="7"/>
        <v>0</v>
      </c>
      <c r="H171" s="16"/>
    </row>
    <row r="172" spans="1:8" x14ac:dyDescent="0.3">
      <c r="A172" s="15"/>
      <c r="B172" s="11" t="e">
        <f t="shared" si="6"/>
        <v>#NUM!</v>
      </c>
      <c r="C172" s="12"/>
      <c r="D172" s="13"/>
      <c r="E172" s="30"/>
      <c r="F172" s="30">
        <f t="shared" si="8"/>
        <v>0</v>
      </c>
      <c r="G172" s="29">
        <f t="shared" si="7"/>
        <v>0</v>
      </c>
      <c r="H172" s="16"/>
    </row>
    <row r="173" spans="1:8" x14ac:dyDescent="0.3">
      <c r="A173" s="15"/>
      <c r="B173" s="11" t="e">
        <f t="shared" si="6"/>
        <v>#NUM!</v>
      </c>
      <c r="C173" s="12"/>
      <c r="D173" s="13"/>
      <c r="E173" s="30"/>
      <c r="F173" s="30">
        <f t="shared" si="8"/>
        <v>0</v>
      </c>
      <c r="G173" s="29">
        <f t="shared" si="7"/>
        <v>0</v>
      </c>
      <c r="H173" s="16"/>
    </row>
    <row r="174" spans="1:8" x14ac:dyDescent="0.3">
      <c r="A174" s="15"/>
      <c r="B174" s="11" t="e">
        <f t="shared" si="6"/>
        <v>#NUM!</v>
      </c>
      <c r="C174" s="12"/>
      <c r="D174" s="13"/>
      <c r="E174" s="30"/>
      <c r="F174" s="30">
        <f t="shared" si="8"/>
        <v>0</v>
      </c>
      <c r="G174" s="29">
        <f t="shared" si="7"/>
        <v>0</v>
      </c>
      <c r="H174" s="16"/>
    </row>
    <row r="175" spans="1:8" x14ac:dyDescent="0.3">
      <c r="A175" s="15"/>
      <c r="B175" s="11" t="e">
        <f t="shared" si="6"/>
        <v>#NUM!</v>
      </c>
      <c r="C175" s="12"/>
      <c r="D175" s="13"/>
      <c r="E175" s="30"/>
      <c r="F175" s="30">
        <f t="shared" si="8"/>
        <v>0</v>
      </c>
      <c r="G175" s="29">
        <f t="shared" si="7"/>
        <v>0</v>
      </c>
      <c r="H175" s="16"/>
    </row>
    <row r="176" spans="1:8" x14ac:dyDescent="0.3">
      <c r="A176" s="15"/>
      <c r="B176" s="11" t="e">
        <f t="shared" si="6"/>
        <v>#NUM!</v>
      </c>
      <c r="C176" s="12"/>
      <c r="D176" s="13"/>
      <c r="E176" s="30"/>
      <c r="F176" s="30">
        <f t="shared" si="8"/>
        <v>0</v>
      </c>
      <c r="G176" s="29">
        <f t="shared" si="7"/>
        <v>0</v>
      </c>
      <c r="H176" s="16"/>
    </row>
    <row r="177" spans="1:8" x14ac:dyDescent="0.3">
      <c r="A177" s="15"/>
      <c r="B177" s="11" t="e">
        <f t="shared" si="6"/>
        <v>#NUM!</v>
      </c>
      <c r="C177" s="12"/>
      <c r="D177" s="13"/>
      <c r="E177" s="30"/>
      <c r="F177" s="30">
        <f t="shared" si="8"/>
        <v>0</v>
      </c>
      <c r="G177" s="29">
        <f t="shared" si="7"/>
        <v>0</v>
      </c>
      <c r="H177" s="16"/>
    </row>
    <row r="178" spans="1:8" x14ac:dyDescent="0.3">
      <c r="A178" s="15"/>
      <c r="B178" s="11" t="e">
        <f t="shared" si="6"/>
        <v>#NUM!</v>
      </c>
      <c r="C178" s="12"/>
      <c r="D178" s="13"/>
      <c r="E178" s="30"/>
      <c r="F178" s="30">
        <f t="shared" si="8"/>
        <v>0</v>
      </c>
      <c r="G178" s="29">
        <f t="shared" si="7"/>
        <v>0</v>
      </c>
      <c r="H178" s="16"/>
    </row>
    <row r="179" spans="1:8" x14ac:dyDescent="0.3">
      <c r="A179" s="15"/>
      <c r="B179" s="11" t="e">
        <f t="shared" si="6"/>
        <v>#NUM!</v>
      </c>
      <c r="C179" s="12"/>
      <c r="D179" s="13"/>
      <c r="E179" s="30"/>
      <c r="F179" s="30">
        <f t="shared" si="8"/>
        <v>0</v>
      </c>
      <c r="G179" s="29">
        <f t="shared" si="7"/>
        <v>0</v>
      </c>
      <c r="H179" s="16"/>
    </row>
    <row r="180" spans="1:8" x14ac:dyDescent="0.3">
      <c r="A180" s="15"/>
      <c r="B180" s="11" t="e">
        <f t="shared" si="6"/>
        <v>#NUM!</v>
      </c>
      <c r="C180" s="12"/>
      <c r="D180" s="13"/>
      <c r="E180" s="30"/>
      <c r="F180" s="30">
        <f t="shared" si="8"/>
        <v>0</v>
      </c>
      <c r="G180" s="29">
        <f t="shared" si="7"/>
        <v>0</v>
      </c>
      <c r="H180" s="16"/>
    </row>
    <row r="181" spans="1:8" x14ac:dyDescent="0.3">
      <c r="A181" s="15"/>
      <c r="B181" s="11" t="e">
        <f t="shared" si="6"/>
        <v>#NUM!</v>
      </c>
      <c r="C181" s="12"/>
      <c r="D181" s="13"/>
      <c r="E181" s="30"/>
      <c r="F181" s="30">
        <f t="shared" si="8"/>
        <v>0</v>
      </c>
      <c r="G181" s="29">
        <f t="shared" si="7"/>
        <v>0</v>
      </c>
      <c r="H181" s="16"/>
    </row>
    <row r="182" spans="1:8" x14ac:dyDescent="0.3">
      <c r="A182" s="15"/>
      <c r="B182" s="11" t="e">
        <f t="shared" si="6"/>
        <v>#NUM!</v>
      </c>
      <c r="C182" s="12"/>
      <c r="D182" s="13"/>
      <c r="E182" s="30"/>
      <c r="F182" s="30">
        <f t="shared" si="8"/>
        <v>0</v>
      </c>
      <c r="G182" s="29">
        <f t="shared" si="7"/>
        <v>0</v>
      </c>
      <c r="H182" s="16"/>
    </row>
    <row r="183" spans="1:8" x14ac:dyDescent="0.3">
      <c r="A183" s="15"/>
      <c r="B183" s="11" t="e">
        <f t="shared" si="6"/>
        <v>#NUM!</v>
      </c>
      <c r="C183" s="12"/>
      <c r="D183" s="13"/>
      <c r="E183" s="30"/>
      <c r="F183" s="30">
        <f t="shared" si="8"/>
        <v>0</v>
      </c>
      <c r="G183" s="29">
        <f t="shared" si="7"/>
        <v>0</v>
      </c>
      <c r="H183" s="16"/>
    </row>
    <row r="184" spans="1:8" x14ac:dyDescent="0.3">
      <c r="A184" s="15"/>
      <c r="B184" s="11" t="e">
        <f t="shared" si="6"/>
        <v>#NUM!</v>
      </c>
      <c r="C184" s="12"/>
      <c r="D184" s="13"/>
      <c r="E184" s="30"/>
      <c r="F184" s="30">
        <f t="shared" si="8"/>
        <v>0</v>
      </c>
      <c r="G184" s="29">
        <f t="shared" si="7"/>
        <v>0</v>
      </c>
      <c r="H184" s="16"/>
    </row>
    <row r="185" spans="1:8" x14ac:dyDescent="0.3">
      <c r="A185" s="15"/>
      <c r="B185" s="11" t="e">
        <f t="shared" si="6"/>
        <v>#NUM!</v>
      </c>
      <c r="C185" s="12"/>
      <c r="D185" s="13"/>
      <c r="E185" s="30"/>
      <c r="F185" s="30">
        <f t="shared" si="8"/>
        <v>0</v>
      </c>
      <c r="G185" s="29">
        <f t="shared" si="7"/>
        <v>0</v>
      </c>
      <c r="H185" s="16"/>
    </row>
    <row r="186" spans="1:8" x14ac:dyDescent="0.3">
      <c r="A186" s="15"/>
      <c r="B186" s="11" t="e">
        <f t="shared" si="6"/>
        <v>#NUM!</v>
      </c>
      <c r="C186" s="12"/>
      <c r="D186" s="13"/>
      <c r="E186" s="30"/>
      <c r="F186" s="30">
        <f t="shared" si="8"/>
        <v>0</v>
      </c>
      <c r="G186" s="29">
        <f t="shared" si="7"/>
        <v>0</v>
      </c>
      <c r="H186" s="16"/>
    </row>
    <row r="187" spans="1:8" x14ac:dyDescent="0.3">
      <c r="A187" s="15"/>
      <c r="B187" s="11" t="e">
        <f t="shared" si="6"/>
        <v>#NUM!</v>
      </c>
      <c r="C187" s="12"/>
      <c r="D187" s="13"/>
      <c r="E187" s="30"/>
      <c r="F187" s="30">
        <f t="shared" si="8"/>
        <v>0</v>
      </c>
      <c r="G187" s="29">
        <f t="shared" si="7"/>
        <v>0</v>
      </c>
      <c r="H187" s="16"/>
    </row>
    <row r="188" spans="1:8" x14ac:dyDescent="0.3">
      <c r="A188" s="15"/>
      <c r="B188" s="11" t="e">
        <f t="shared" si="6"/>
        <v>#NUM!</v>
      </c>
      <c r="C188" s="12"/>
      <c r="D188" s="13"/>
      <c r="E188" s="30"/>
      <c r="F188" s="30">
        <f t="shared" si="8"/>
        <v>0</v>
      </c>
      <c r="G188" s="29">
        <f t="shared" si="7"/>
        <v>0</v>
      </c>
      <c r="H188" s="16"/>
    </row>
    <row r="189" spans="1:8" x14ac:dyDescent="0.3">
      <c r="A189" s="15"/>
      <c r="B189" s="11" t="e">
        <f t="shared" si="6"/>
        <v>#NUM!</v>
      </c>
      <c r="C189" s="12"/>
      <c r="D189" s="13"/>
      <c r="E189" s="30"/>
      <c r="F189" s="30">
        <f t="shared" si="8"/>
        <v>0</v>
      </c>
      <c r="G189" s="29">
        <f t="shared" si="7"/>
        <v>0</v>
      </c>
      <c r="H189" s="16"/>
    </row>
    <row r="190" spans="1:8" x14ac:dyDescent="0.3">
      <c r="A190" s="15"/>
      <c r="B190" s="11" t="e">
        <f t="shared" si="6"/>
        <v>#NUM!</v>
      </c>
      <c r="C190" s="12"/>
      <c r="D190" s="13"/>
      <c r="E190" s="30"/>
      <c r="F190" s="30">
        <f t="shared" si="8"/>
        <v>0</v>
      </c>
      <c r="G190" s="29">
        <f t="shared" si="7"/>
        <v>0</v>
      </c>
      <c r="H190" s="16"/>
    </row>
    <row r="191" spans="1:8" x14ac:dyDescent="0.3">
      <c r="A191" s="15"/>
      <c r="B191" s="11" t="e">
        <f t="shared" si="6"/>
        <v>#NUM!</v>
      </c>
      <c r="C191" s="12"/>
      <c r="D191" s="13"/>
      <c r="E191" s="30"/>
      <c r="F191" s="30">
        <f t="shared" si="8"/>
        <v>0</v>
      </c>
      <c r="G191" s="29">
        <f t="shared" si="7"/>
        <v>0</v>
      </c>
      <c r="H191" s="16"/>
    </row>
    <row r="192" spans="1:8" x14ac:dyDescent="0.3">
      <c r="A192" s="15"/>
      <c r="B192" s="11" t="e">
        <f t="shared" si="6"/>
        <v>#NUM!</v>
      </c>
      <c r="C192" s="12"/>
      <c r="D192" s="13"/>
      <c r="E192" s="30"/>
      <c r="F192" s="30">
        <f t="shared" si="8"/>
        <v>0</v>
      </c>
      <c r="G192" s="29">
        <f t="shared" si="7"/>
        <v>0</v>
      </c>
      <c r="H192" s="16"/>
    </row>
    <row r="193" spans="1:8" x14ac:dyDescent="0.3">
      <c r="A193" s="15"/>
      <c r="B193" s="11" t="e">
        <f t="shared" si="6"/>
        <v>#NUM!</v>
      </c>
      <c r="C193" s="12"/>
      <c r="D193" s="13"/>
      <c r="E193" s="30"/>
      <c r="F193" s="30">
        <f t="shared" si="8"/>
        <v>0</v>
      </c>
      <c r="G193" s="29">
        <f t="shared" si="7"/>
        <v>0</v>
      </c>
      <c r="H193" s="16"/>
    </row>
    <row r="194" spans="1:8" x14ac:dyDescent="0.3">
      <c r="A194" s="15"/>
      <c r="B194" s="11" t="e">
        <f t="shared" si="6"/>
        <v>#NUM!</v>
      </c>
      <c r="C194" s="12"/>
      <c r="D194" s="13"/>
      <c r="E194" s="30"/>
      <c r="F194" s="30">
        <f t="shared" si="8"/>
        <v>0</v>
      </c>
      <c r="G194" s="29">
        <f t="shared" si="7"/>
        <v>0</v>
      </c>
      <c r="H194" s="16"/>
    </row>
    <row r="195" spans="1:8" x14ac:dyDescent="0.3">
      <c r="A195" s="15"/>
      <c r="B195" s="11" t="e">
        <f t="shared" si="6"/>
        <v>#NUM!</v>
      </c>
      <c r="C195" s="12"/>
      <c r="D195" s="13"/>
      <c r="E195" s="30"/>
      <c r="F195" s="30">
        <f t="shared" si="8"/>
        <v>0</v>
      </c>
      <c r="G195" s="29">
        <f t="shared" si="7"/>
        <v>0</v>
      </c>
      <c r="H195" s="16"/>
    </row>
    <row r="196" spans="1:8" x14ac:dyDescent="0.3">
      <c r="A196" s="15"/>
      <c r="B196" s="11" t="e">
        <f t="shared" si="6"/>
        <v>#NUM!</v>
      </c>
      <c r="C196" s="12"/>
      <c r="D196" s="13"/>
      <c r="E196" s="30"/>
      <c r="F196" s="30">
        <f t="shared" si="8"/>
        <v>0</v>
      </c>
      <c r="G196" s="29">
        <f t="shared" si="7"/>
        <v>0</v>
      </c>
      <c r="H196" s="16"/>
    </row>
    <row r="197" spans="1:8" x14ac:dyDescent="0.3">
      <c r="A197" s="15"/>
      <c r="B197" s="11" t="e">
        <f t="shared" si="6"/>
        <v>#NUM!</v>
      </c>
      <c r="C197" s="12"/>
      <c r="D197" s="13"/>
      <c r="E197" s="30"/>
      <c r="F197" s="30">
        <f t="shared" si="8"/>
        <v>0</v>
      </c>
      <c r="G197" s="29">
        <f t="shared" si="7"/>
        <v>0</v>
      </c>
      <c r="H197" s="16"/>
    </row>
    <row r="198" spans="1:8" x14ac:dyDescent="0.3">
      <c r="A198" s="15"/>
      <c r="B198" s="11" t="e">
        <f t="shared" ref="B198:B203" si="9">TRUNC((A198-DATE(YEAR(A198+3-MOD(A198-2,7)),1,MOD(A198-2,7)-9))/7)</f>
        <v>#NUM!</v>
      </c>
      <c r="C198" s="12"/>
      <c r="D198" s="13"/>
      <c r="E198" s="30"/>
      <c r="F198" s="30">
        <f t="shared" si="8"/>
        <v>0</v>
      </c>
      <c r="G198" s="29">
        <f t="shared" ref="G198:G203" si="10">HOUR($D198-$C198)+MINUTE($D198-$C198)/60</f>
        <v>0</v>
      </c>
      <c r="H198" s="16"/>
    </row>
    <row r="199" spans="1:8" x14ac:dyDescent="0.3">
      <c r="A199" s="15"/>
      <c r="B199" s="11" t="e">
        <f t="shared" si="9"/>
        <v>#NUM!</v>
      </c>
      <c r="C199" s="12"/>
      <c r="D199" s="13"/>
      <c r="E199" s="30"/>
      <c r="F199" s="30">
        <f t="shared" ref="F199:F203" si="11">G199-E199</f>
        <v>0</v>
      </c>
      <c r="G199" s="29">
        <f t="shared" si="10"/>
        <v>0</v>
      </c>
      <c r="H199" s="16"/>
    </row>
    <row r="200" spans="1:8" x14ac:dyDescent="0.3">
      <c r="A200" s="15"/>
      <c r="B200" s="11" t="e">
        <f t="shared" si="9"/>
        <v>#NUM!</v>
      </c>
      <c r="C200" s="12"/>
      <c r="D200" s="13"/>
      <c r="E200" s="30"/>
      <c r="F200" s="30">
        <f t="shared" si="11"/>
        <v>0</v>
      </c>
      <c r="G200" s="29">
        <f t="shared" si="10"/>
        <v>0</v>
      </c>
      <c r="H200" s="16"/>
    </row>
    <row r="201" spans="1:8" x14ac:dyDescent="0.3">
      <c r="A201" s="15"/>
      <c r="B201" s="11" t="e">
        <f t="shared" si="9"/>
        <v>#NUM!</v>
      </c>
      <c r="C201" s="12"/>
      <c r="D201" s="13"/>
      <c r="E201" s="30"/>
      <c r="F201" s="30">
        <f t="shared" si="11"/>
        <v>0</v>
      </c>
      <c r="G201" s="29">
        <f t="shared" si="10"/>
        <v>0</v>
      </c>
      <c r="H201" s="16"/>
    </row>
    <row r="202" spans="1:8" x14ac:dyDescent="0.3">
      <c r="A202" s="15"/>
      <c r="B202" s="11" t="e">
        <f t="shared" si="9"/>
        <v>#NUM!</v>
      </c>
      <c r="C202" s="12"/>
      <c r="D202" s="13"/>
      <c r="E202" s="30"/>
      <c r="F202" s="30">
        <f t="shared" si="11"/>
        <v>0</v>
      </c>
      <c r="G202" s="29">
        <f t="shared" si="10"/>
        <v>0</v>
      </c>
      <c r="H202" s="16"/>
    </row>
    <row r="203" spans="1:8" ht="15" thickBot="1" x14ac:dyDescent="0.35">
      <c r="A203" s="18"/>
      <c r="B203" s="11" t="e">
        <f t="shared" si="9"/>
        <v>#NUM!</v>
      </c>
      <c r="C203" s="19"/>
      <c r="D203" s="20"/>
      <c r="E203" s="21"/>
      <c r="F203" s="30">
        <f t="shared" si="11"/>
        <v>0</v>
      </c>
      <c r="G203" s="29">
        <f t="shared" si="10"/>
        <v>0</v>
      </c>
      <c r="H203" s="22"/>
    </row>
  </sheetData>
  <mergeCells count="10">
    <mergeCell ref="A1:C1"/>
    <mergeCell ref="D1:H1"/>
    <mergeCell ref="A2:D2"/>
    <mergeCell ref="A3:A4"/>
    <mergeCell ref="B3:B4"/>
    <mergeCell ref="C3:D3"/>
    <mergeCell ref="E3:E4"/>
    <mergeCell ref="F3:F4"/>
    <mergeCell ref="G3:G4"/>
    <mergeCell ref="H3:H4"/>
  </mergeCells>
  <phoneticPr fontId="0" type="noConversion"/>
  <pageMargins left="0.70866141732283472" right="0.70866141732283472" top="0.78740157480314965" bottom="0.78740157480314965" header="0.51181102362204722" footer="0.51181102362204722"/>
  <pageSetup paperSize="9" scale="60" firstPageNumber="0" fitToHeight="0" orientation="portrait" horizontalDpi="300" verticalDpi="300" r:id="rId1"/>
  <headerFooter alignWithMargins="0">
    <oddFooter>&amp;LEL HTL Hollabrunn&amp;C&amp;A&amp;R&amp;P/&amp;N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6"/>
  <sheetViews>
    <sheetView zoomScale="115" zoomScaleNormal="115" workbookViewId="0">
      <selection activeCell="K7" sqref="K7"/>
    </sheetView>
  </sheetViews>
  <sheetFormatPr baseColWidth="10" defaultColWidth="9.109375" defaultRowHeight="14.4" x14ac:dyDescent="0.3"/>
  <cols>
    <col min="1" max="1" width="12" bestFit="1" customWidth="1"/>
    <col min="2" max="2" width="48.5546875" customWidth="1"/>
    <col min="3" max="7" width="5.88671875" customWidth="1"/>
    <col min="8" max="8" width="38.44140625" customWidth="1"/>
  </cols>
  <sheetData>
    <row r="1" spans="1:8" s="6" customFormat="1" ht="21" x14ac:dyDescent="0.4">
      <c r="A1" s="57" t="s">
        <v>13</v>
      </c>
      <c r="B1" s="57"/>
      <c r="C1" s="57"/>
      <c r="D1" s="57"/>
      <c r="E1" s="57"/>
      <c r="F1" s="57"/>
      <c r="G1" s="57"/>
      <c r="H1" s="57"/>
    </row>
    <row r="2" spans="1:8" x14ac:dyDescent="0.3">
      <c r="A2" t="s">
        <v>14</v>
      </c>
      <c r="B2" t="s">
        <v>15</v>
      </c>
      <c r="C2" s="50" t="s">
        <v>16</v>
      </c>
      <c r="D2" s="50"/>
      <c r="E2" s="50"/>
      <c r="F2" s="50" t="s">
        <v>17</v>
      </c>
      <c r="G2" s="50"/>
      <c r="H2" s="50"/>
    </row>
    <row r="3" spans="1:8" ht="32.25" customHeight="1" x14ac:dyDescent="0.3">
      <c r="A3" s="24" t="s">
        <v>18</v>
      </c>
      <c r="C3" s="58" t="s">
        <v>19</v>
      </c>
      <c r="D3" s="58"/>
      <c r="E3" s="58"/>
      <c r="F3" s="59"/>
      <c r="G3" s="59"/>
      <c r="H3" s="59"/>
    </row>
    <row r="4" spans="1:8" x14ac:dyDescent="0.3">
      <c r="A4" t="s">
        <v>20</v>
      </c>
    </row>
    <row r="5" spans="1:8" ht="8.25" customHeight="1" x14ac:dyDescent="0.3"/>
    <row r="6" spans="1:8" ht="70.5" customHeight="1" x14ac:dyDescent="0.3">
      <c r="A6" s="31" t="s">
        <v>21</v>
      </c>
      <c r="B6" s="31" t="s">
        <v>22</v>
      </c>
      <c r="C6" s="32" t="s">
        <v>23</v>
      </c>
      <c r="D6" s="32" t="s">
        <v>24</v>
      </c>
      <c r="E6" s="32" t="s">
        <v>25</v>
      </c>
      <c r="F6" s="32" t="s">
        <v>26</v>
      </c>
      <c r="G6" s="32" t="s">
        <v>27</v>
      </c>
      <c r="H6" s="33" t="s">
        <v>28</v>
      </c>
    </row>
    <row r="7" spans="1:8" ht="86.4" x14ac:dyDescent="0.3">
      <c r="A7" s="34">
        <v>42900</v>
      </c>
      <c r="B7" s="35" t="s">
        <v>29</v>
      </c>
      <c r="C7" s="36">
        <v>80</v>
      </c>
      <c r="D7" s="36">
        <v>75</v>
      </c>
      <c r="E7" s="36">
        <v>70</v>
      </c>
      <c r="F7" s="36"/>
      <c r="G7" s="36"/>
      <c r="H7" s="37" t="s">
        <v>30</v>
      </c>
    </row>
    <row r="8" spans="1:8" ht="92.25" customHeight="1" x14ac:dyDescent="0.3">
      <c r="A8" s="34"/>
      <c r="B8" s="35"/>
      <c r="C8" s="36"/>
      <c r="D8" s="36"/>
      <c r="E8" s="36"/>
      <c r="F8" s="36"/>
      <c r="G8" s="36"/>
      <c r="H8" s="38"/>
    </row>
    <row r="9" spans="1:8" ht="92.25" customHeight="1" x14ac:dyDescent="0.3">
      <c r="A9" s="34"/>
      <c r="B9" s="39"/>
      <c r="C9" s="36"/>
      <c r="D9" s="36"/>
      <c r="E9" s="36"/>
      <c r="F9" s="36"/>
      <c r="G9" s="36"/>
      <c r="H9" s="38"/>
    </row>
    <row r="10" spans="1:8" ht="92.25" customHeight="1" x14ac:dyDescent="0.3">
      <c r="A10" s="34"/>
      <c r="B10" s="35"/>
      <c r="C10" s="36"/>
      <c r="D10" s="36"/>
      <c r="E10" s="36"/>
      <c r="F10" s="36"/>
      <c r="G10" s="36"/>
      <c r="H10" s="38"/>
    </row>
    <row r="11" spans="1:8" ht="92.25" customHeight="1" x14ac:dyDescent="0.3">
      <c r="A11" s="34"/>
      <c r="B11" s="35"/>
      <c r="C11" s="36"/>
      <c r="D11" s="36"/>
      <c r="E11" s="36"/>
      <c r="F11" s="36"/>
      <c r="G11" s="36"/>
      <c r="H11" s="38"/>
    </row>
    <row r="12" spans="1:8" ht="92.25" customHeight="1" x14ac:dyDescent="0.3">
      <c r="A12" s="39"/>
      <c r="B12" s="39"/>
      <c r="C12" s="36"/>
      <c r="D12" s="36"/>
      <c r="E12" s="36"/>
      <c r="F12" s="36"/>
      <c r="G12" s="36"/>
      <c r="H12" s="38"/>
    </row>
    <row r="13" spans="1:8" ht="22.5" customHeight="1" x14ac:dyDescent="0.3"/>
    <row r="14" spans="1:8" x14ac:dyDescent="0.3">
      <c r="A14" s="50" t="s">
        <v>31</v>
      </c>
      <c r="B14" s="50"/>
      <c r="C14" s="50"/>
      <c r="D14" s="50"/>
      <c r="E14" s="50"/>
      <c r="F14" s="50"/>
      <c r="G14" s="50"/>
      <c r="H14" s="50"/>
    </row>
    <row r="15" spans="1:8" x14ac:dyDescent="0.3">
      <c r="A15" s="51"/>
      <c r="B15" s="52"/>
      <c r="C15" s="52"/>
      <c r="D15" s="52"/>
      <c r="E15" s="52"/>
      <c r="F15" s="52"/>
      <c r="G15" s="52"/>
      <c r="H15" s="53"/>
    </row>
    <row r="16" spans="1:8" x14ac:dyDescent="0.3">
      <c r="A16" s="54"/>
      <c r="B16" s="55"/>
      <c r="C16" s="55"/>
      <c r="D16" s="55"/>
      <c r="E16" s="55"/>
      <c r="F16" s="55"/>
      <c r="G16" s="55"/>
      <c r="H16" s="56"/>
    </row>
  </sheetData>
  <mergeCells count="7">
    <mergeCell ref="A14:H14"/>
    <mergeCell ref="A15:H16"/>
    <mergeCell ref="C2:E2"/>
    <mergeCell ref="F2:H2"/>
    <mergeCell ref="A1:H1"/>
    <mergeCell ref="C3:E3"/>
    <mergeCell ref="F3:H3"/>
  </mergeCells>
  <phoneticPr fontId="0" type="noConversion"/>
  <pageMargins left="0.70866141732283472" right="0.70866141732283472" top="0.78740157480314965" bottom="0.78740157480314965" header="0.31496062992125984" footer="0.31496062992125984"/>
  <pageSetup paperSize="9" fitToHeight="0" orientation="landscape" r:id="rId1"/>
  <headerFooter>
    <oddFooter>&amp;LEL HTL Hollabrunn&amp;C&amp;A&amp;R&amp;P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8:H63"/>
  <sheetViews>
    <sheetView zoomScale="115" zoomScaleNormal="115" workbookViewId="0">
      <selection activeCell="M38" sqref="M38"/>
    </sheetView>
  </sheetViews>
  <sheetFormatPr baseColWidth="10" defaultColWidth="9.109375" defaultRowHeight="14.4" x14ac:dyDescent="0.3"/>
  <sheetData>
    <row r="8" spans="3:5" x14ac:dyDescent="0.3">
      <c r="C8" s="60" t="s">
        <v>2</v>
      </c>
      <c r="D8" s="60"/>
      <c r="E8" s="1">
        <f>SUM(D11:D62)</f>
        <v>93.333333333333329</v>
      </c>
    </row>
    <row r="10" spans="3:5" x14ac:dyDescent="0.3">
      <c r="C10" s="4" t="s">
        <v>32</v>
      </c>
      <c r="D10" s="2" t="s">
        <v>33</v>
      </c>
    </row>
    <row r="11" spans="3:5" x14ac:dyDescent="0.3">
      <c r="C11" s="5">
        <v>16</v>
      </c>
      <c r="D11" s="3">
        <f>SUMIF(Begleitprotokoll!$B$5:$B$56,Wochenstunden!$C11,Begleitprotokoll!$G$5:$G$56)</f>
        <v>8</v>
      </c>
    </row>
    <row r="12" spans="3:5" x14ac:dyDescent="0.3">
      <c r="C12" s="5">
        <v>17</v>
      </c>
      <c r="D12" s="3">
        <f>SUMIF(Begleitprotokoll!$B$5:$B$56,Wochenstunden!$C12,Begleitprotokoll!$G$5:$G$56)</f>
        <v>22</v>
      </c>
    </row>
    <row r="13" spans="3:5" x14ac:dyDescent="0.3">
      <c r="C13" s="5">
        <v>18</v>
      </c>
      <c r="D13" s="3">
        <f>SUMIF(Begleitprotokoll!$B$5:$B$56,Wochenstunden!$C13,Begleitprotokoll!$G$5:$G$56)</f>
        <v>0</v>
      </c>
    </row>
    <row r="14" spans="3:5" x14ac:dyDescent="0.3">
      <c r="C14" s="5">
        <v>19</v>
      </c>
      <c r="D14" s="3">
        <f>SUMIF(Begleitprotokoll!$B$5:$B$56,Wochenstunden!$C14,Begleitprotokoll!$G$5:$G$56)</f>
        <v>0</v>
      </c>
    </row>
    <row r="15" spans="3:5" x14ac:dyDescent="0.3">
      <c r="C15" s="5">
        <v>20</v>
      </c>
      <c r="D15" s="3">
        <f>SUMIF(Begleitprotokoll!$B$5:$B$56,Wochenstunden!$C15,Begleitprotokoll!$G$5:$G$56)</f>
        <v>0</v>
      </c>
    </row>
    <row r="16" spans="3:5" x14ac:dyDescent="0.3">
      <c r="C16" s="5">
        <v>21</v>
      </c>
      <c r="D16" s="3">
        <f>SUMIF(Begleitprotokoll!$B$5:$B$56,Wochenstunden!$C16,Begleitprotokoll!$G$5:$G$56)</f>
        <v>0</v>
      </c>
    </row>
    <row r="17" spans="3:4" x14ac:dyDescent="0.3">
      <c r="C17" s="5">
        <v>22</v>
      </c>
      <c r="D17" s="3">
        <f>SUMIF(Begleitprotokoll!$B$5:$B$56,Wochenstunden!$C17,Begleitprotokoll!$G$5:$G$56)</f>
        <v>0</v>
      </c>
    </row>
    <row r="18" spans="3:4" x14ac:dyDescent="0.3">
      <c r="C18" s="5">
        <v>23</v>
      </c>
      <c r="D18" s="3">
        <f>SUMIF(Begleitprotokoll!$B$5:$B$56,Wochenstunden!$C18,Begleitprotokoll!$G$5:$G$56)</f>
        <v>0</v>
      </c>
    </row>
    <row r="19" spans="3:4" x14ac:dyDescent="0.3">
      <c r="C19" s="5">
        <v>24</v>
      </c>
      <c r="D19" s="3">
        <f>SUMIF(Begleitprotokoll!$B$5:$B$56,Wochenstunden!$C19,Begleitprotokoll!$G$5:$G$56)</f>
        <v>0</v>
      </c>
    </row>
    <row r="20" spans="3:4" x14ac:dyDescent="0.3">
      <c r="C20" s="5">
        <v>25</v>
      </c>
      <c r="D20" s="3">
        <f>SUMIF(Begleitprotokoll!$B$5:$B$56,Wochenstunden!$C20,Begleitprotokoll!$G$5:$G$56)</f>
        <v>0</v>
      </c>
    </row>
    <row r="21" spans="3:4" x14ac:dyDescent="0.3">
      <c r="C21" s="5">
        <v>26</v>
      </c>
      <c r="D21" s="3">
        <f>SUMIF(Begleitprotokoll!$B$5:$B$56,Wochenstunden!$C21,Begleitprotokoll!$G$5:$G$56)</f>
        <v>0</v>
      </c>
    </row>
    <row r="22" spans="3:4" x14ac:dyDescent="0.3">
      <c r="C22" s="5">
        <v>27</v>
      </c>
      <c r="D22" s="3">
        <f>SUMIF(Begleitprotokoll!$B$5:$B$56,Wochenstunden!$C22,Begleitprotokoll!$G$5:$G$56)</f>
        <v>0</v>
      </c>
    </row>
    <row r="23" spans="3:4" x14ac:dyDescent="0.3">
      <c r="C23" s="5">
        <v>28</v>
      </c>
      <c r="D23" s="3">
        <f>SUMIF(Begleitprotokoll!$B$5:$B$56,Wochenstunden!$C23,Begleitprotokoll!$G$5:$G$56)</f>
        <v>0</v>
      </c>
    </row>
    <row r="24" spans="3:4" x14ac:dyDescent="0.3">
      <c r="C24" s="5">
        <v>29</v>
      </c>
      <c r="D24" s="3">
        <f>SUMIF(Begleitprotokoll!$B$5:$B$158,Wochenstunden!$C24,Begleitprotokoll!$G$5:$G$158)</f>
        <v>0</v>
      </c>
    </row>
    <row r="25" spans="3:4" x14ac:dyDescent="0.3">
      <c r="C25" s="5">
        <v>30</v>
      </c>
      <c r="D25" s="3">
        <f>SUMIF(Begleitprotokoll!$B$5:$B$158,Wochenstunden!$C25,Begleitprotokoll!$G$5:$G$158)</f>
        <v>0</v>
      </c>
    </row>
    <row r="26" spans="3:4" x14ac:dyDescent="0.3">
      <c r="C26" s="5">
        <v>31</v>
      </c>
      <c r="D26" s="3">
        <f>SUMIF(Begleitprotokoll!$B$5:$B$158,Wochenstunden!$C26,Begleitprotokoll!$G$5:$G$158)</f>
        <v>0</v>
      </c>
    </row>
    <row r="27" spans="3:4" x14ac:dyDescent="0.3">
      <c r="C27" s="5">
        <v>32</v>
      </c>
      <c r="D27" s="3">
        <f>SUMIF(Begleitprotokoll!$B$5:$B$158,Wochenstunden!$C27,Begleitprotokoll!$G$5:$G$158)</f>
        <v>0</v>
      </c>
    </row>
    <row r="28" spans="3:4" x14ac:dyDescent="0.3">
      <c r="C28" s="5">
        <v>33</v>
      </c>
      <c r="D28" s="3">
        <f>SUMIF(Begleitprotokoll!$B$5:$B$158,Wochenstunden!$C28,Begleitprotokoll!$G$5:$G$158)</f>
        <v>0</v>
      </c>
    </row>
    <row r="29" spans="3:4" x14ac:dyDescent="0.3">
      <c r="C29" s="5">
        <v>34</v>
      </c>
      <c r="D29" s="3">
        <f>SUMIF(Begleitprotokoll!$B$5:$B$158,Wochenstunden!$C29,Begleitprotokoll!$G$5:$G$158)</f>
        <v>0</v>
      </c>
    </row>
    <row r="30" spans="3:4" x14ac:dyDescent="0.3">
      <c r="C30" s="5">
        <v>35</v>
      </c>
      <c r="D30" s="3">
        <f>SUMIF(Begleitprotokoll!$B$5:$B$158,Wochenstunden!$C30,Begleitprotokoll!$G$5:$G$158)</f>
        <v>0</v>
      </c>
    </row>
    <row r="31" spans="3:4" x14ac:dyDescent="0.3">
      <c r="C31" s="5">
        <v>36</v>
      </c>
      <c r="D31" s="3">
        <f>SUMIF(Begleitprotokoll!$B$5:$B$158,Wochenstunden!$C31,Begleitprotokoll!$G$5:$G$158)</f>
        <v>0</v>
      </c>
    </row>
    <row r="32" spans="3:4" x14ac:dyDescent="0.3">
      <c r="C32" s="5">
        <v>37</v>
      </c>
      <c r="D32" s="3">
        <f>SUMIF(Begleitprotokoll!$B$5:$B$158,Wochenstunden!$C32,Begleitprotokoll!$G$5:$G$158)</f>
        <v>0</v>
      </c>
    </row>
    <row r="33" spans="3:4" x14ac:dyDescent="0.3">
      <c r="C33" s="5">
        <v>38</v>
      </c>
      <c r="D33" s="3">
        <f>SUMIF(Begleitprotokoll!$B$5:$B$158,Wochenstunden!$C33,Begleitprotokoll!$G$5:$G$158)</f>
        <v>0</v>
      </c>
    </row>
    <row r="34" spans="3:4" x14ac:dyDescent="0.3">
      <c r="C34" s="5">
        <v>39</v>
      </c>
      <c r="D34" s="3">
        <f>SUMIF(Begleitprotokoll!$B$5:$B$158,Wochenstunden!$C34,Begleitprotokoll!$G$5:$G$158)</f>
        <v>0</v>
      </c>
    </row>
    <row r="35" spans="3:4" x14ac:dyDescent="0.3">
      <c r="C35" s="5">
        <v>40</v>
      </c>
      <c r="D35" s="3">
        <f>SUMIF(Begleitprotokoll!$B$5:$B$158,Wochenstunden!$C35,Begleitprotokoll!$G$5:$G$158)</f>
        <v>0</v>
      </c>
    </row>
    <row r="36" spans="3:4" x14ac:dyDescent="0.3">
      <c r="C36" s="5">
        <v>41</v>
      </c>
      <c r="D36" s="3">
        <f>SUMIF(Begleitprotokoll!$B$5:$B$158,Wochenstunden!$C36,Begleitprotokoll!$G$5:$G$158)</f>
        <v>0</v>
      </c>
    </row>
    <row r="37" spans="3:4" x14ac:dyDescent="0.3">
      <c r="C37" s="5">
        <v>42</v>
      </c>
      <c r="D37" s="3">
        <f>SUMIF(Begleitprotokoll!$B$5:$B$158,Wochenstunden!$C37,Begleitprotokoll!$G$5:$G$158)</f>
        <v>0</v>
      </c>
    </row>
    <row r="38" spans="3:4" x14ac:dyDescent="0.3">
      <c r="C38" s="5">
        <v>43</v>
      </c>
      <c r="D38" s="3">
        <f>SUMIF(Begleitprotokoll!$B$5:$B$158,Wochenstunden!$C38,Begleitprotokoll!$G$5:$G$158)</f>
        <v>0</v>
      </c>
    </row>
    <row r="39" spans="3:4" x14ac:dyDescent="0.3">
      <c r="C39" s="5">
        <v>44</v>
      </c>
      <c r="D39" s="3">
        <f>SUMIF(Begleitprotokoll!$B$5:$B$158,Wochenstunden!$C39,Begleitprotokoll!$G$5:$G$158)</f>
        <v>0</v>
      </c>
    </row>
    <row r="40" spans="3:4" x14ac:dyDescent="0.3">
      <c r="C40" s="5">
        <v>45</v>
      </c>
      <c r="D40" s="3">
        <f>SUMIF(Begleitprotokoll!$B$5:$B$158,Wochenstunden!$C40,Begleitprotokoll!$G$5:$G$158)</f>
        <v>0</v>
      </c>
    </row>
    <row r="41" spans="3:4" x14ac:dyDescent="0.3">
      <c r="C41" s="5">
        <v>46</v>
      </c>
      <c r="D41" s="3">
        <f>SUMIF(Begleitprotokoll!$B$5:$B$158,Wochenstunden!$C41,Begleitprotokoll!$G$5:$G$158)</f>
        <v>0</v>
      </c>
    </row>
    <row r="42" spans="3:4" x14ac:dyDescent="0.3">
      <c r="C42" s="5">
        <v>47</v>
      </c>
      <c r="D42" s="3">
        <f>SUMIF(Begleitprotokoll!$B$5:$B$158,Wochenstunden!$C42,Begleitprotokoll!$G$5:$G$158)</f>
        <v>0</v>
      </c>
    </row>
    <row r="43" spans="3:4" x14ac:dyDescent="0.3">
      <c r="C43" s="5">
        <v>48</v>
      </c>
      <c r="D43" s="3">
        <f>SUMIF(Begleitprotokoll!$B$5:$B$158,Wochenstunden!$C43,Begleitprotokoll!$G$5:$G$158)</f>
        <v>0</v>
      </c>
    </row>
    <row r="44" spans="3:4" x14ac:dyDescent="0.3">
      <c r="C44" s="5">
        <v>49</v>
      </c>
      <c r="D44" s="3">
        <f>SUMIF(Begleitprotokoll!$B$5:$B$158,Wochenstunden!$C44,Begleitprotokoll!$G$5:$G$158)</f>
        <v>0</v>
      </c>
    </row>
    <row r="45" spans="3:4" x14ac:dyDescent="0.3">
      <c r="C45" s="5">
        <v>50</v>
      </c>
      <c r="D45" s="3">
        <f>SUMIF(Begleitprotokoll!$B$5:$B$158,Wochenstunden!$C45,Begleitprotokoll!$G$5:$G$158)</f>
        <v>0</v>
      </c>
    </row>
    <row r="46" spans="3:4" x14ac:dyDescent="0.3">
      <c r="C46" s="5">
        <v>51</v>
      </c>
      <c r="D46" s="3">
        <f>SUMIF(Begleitprotokoll!$B$5:$B$158,Wochenstunden!$C46,Begleitprotokoll!$G$5:$G$158)</f>
        <v>0</v>
      </c>
    </row>
    <row r="47" spans="3:4" x14ac:dyDescent="0.3">
      <c r="C47" s="5">
        <v>52</v>
      </c>
      <c r="D47" s="3">
        <f>SUMIF(Begleitprotokoll!$B$5:$B$158,Wochenstunden!$C47,Begleitprotokoll!$G$5:$G$158)</f>
        <v>0</v>
      </c>
    </row>
    <row r="48" spans="3:4" x14ac:dyDescent="0.3">
      <c r="C48" s="5">
        <v>1</v>
      </c>
      <c r="D48" s="3">
        <f>SUMIF(Begleitprotokoll!$B$5:$B$158,Wochenstunden!$C48,Begleitprotokoll!$G$5:$G$158)</f>
        <v>0</v>
      </c>
    </row>
    <row r="49" spans="3:8" x14ac:dyDescent="0.3">
      <c r="C49" s="5">
        <v>2</v>
      </c>
      <c r="D49" s="3">
        <f>SUMIF(Begleitprotokoll!$B$5:$B$158,Wochenstunden!$C49,Begleitprotokoll!$G$5:$G$158)</f>
        <v>0</v>
      </c>
      <c r="G49" s="3"/>
    </row>
    <row r="50" spans="3:8" x14ac:dyDescent="0.3">
      <c r="C50" s="5">
        <v>3</v>
      </c>
      <c r="D50" s="3">
        <f>SUMIF(Begleitprotokoll!$B$5:$B$200,Wochenstunden!$C50,Begleitprotokoll!$G$5:$G$200)</f>
        <v>0</v>
      </c>
    </row>
    <row r="51" spans="3:8" x14ac:dyDescent="0.3">
      <c r="C51" s="5">
        <v>4</v>
      </c>
      <c r="D51" s="3">
        <f>SUMIF(Begleitprotokoll!$B$5:$B$200,Wochenstunden!$C51,Begleitprotokoll!$G$5:$G$200)</f>
        <v>0</v>
      </c>
    </row>
    <row r="52" spans="3:8" x14ac:dyDescent="0.3">
      <c r="C52" s="5">
        <v>5</v>
      </c>
      <c r="D52" s="3">
        <f>SUMIF(Begleitprotokoll!$B$5:$B$200,Wochenstunden!$C52,Begleitprotokoll!$G$5:$G$200)</f>
        <v>0</v>
      </c>
    </row>
    <row r="53" spans="3:8" x14ac:dyDescent="0.3">
      <c r="C53" s="5">
        <v>6</v>
      </c>
      <c r="D53" s="3">
        <f>SUMIF(Begleitprotokoll!$B$5:$B$200,Wochenstunden!$C53,Begleitprotokoll!$G$5:$G$200)</f>
        <v>0</v>
      </c>
    </row>
    <row r="54" spans="3:8" x14ac:dyDescent="0.3">
      <c r="C54" s="5">
        <v>7</v>
      </c>
      <c r="D54" s="3">
        <f>SUMIF(Begleitprotokoll!$B$5:$B$200,Wochenstunden!$C54,Begleitprotokoll!$G$5:$G$200)</f>
        <v>0</v>
      </c>
      <c r="G54" s="3"/>
    </row>
    <row r="55" spans="3:8" x14ac:dyDescent="0.3">
      <c r="C55" s="5">
        <v>8</v>
      </c>
      <c r="D55" s="3">
        <f>SUMIF(Begleitprotokoll!$B$5:$B$200,Wochenstunden!$C55,Begleitprotokoll!$G$5:$G$200)</f>
        <v>0</v>
      </c>
      <c r="G55" s="3"/>
    </row>
    <row r="56" spans="3:8" x14ac:dyDescent="0.3">
      <c r="C56" s="5">
        <v>9</v>
      </c>
      <c r="D56" s="3">
        <f>SUMIF(Begleitprotokoll!$B$5:$B$200,Wochenstunden!$C56,Begleitprotokoll!$G$5:$G$200)</f>
        <v>5.4166666666666661</v>
      </c>
    </row>
    <row r="57" spans="3:8" x14ac:dyDescent="0.3">
      <c r="C57" s="5">
        <v>10</v>
      </c>
      <c r="D57" s="3">
        <f>SUMIF(Begleitprotokoll!$B$5:$B$200,Wochenstunden!$C57,Begleitprotokoll!$G$5:$G$200)</f>
        <v>2.4166666666666665</v>
      </c>
    </row>
    <row r="58" spans="3:8" x14ac:dyDescent="0.3">
      <c r="C58" s="5">
        <v>11</v>
      </c>
      <c r="D58" s="3">
        <f>SUMIF(Begleitprotokoll!$B$5:$B$200,Wochenstunden!$C58,Begleitprotokoll!$G$5:$G$200)</f>
        <v>7.5</v>
      </c>
      <c r="H58" s="3"/>
    </row>
    <row r="59" spans="3:8" x14ac:dyDescent="0.3">
      <c r="C59" s="5">
        <v>12</v>
      </c>
      <c r="D59" s="3">
        <f>SUMIF(Begleitprotokoll!$B$5:$B$200,Wochenstunden!$C59,Begleitprotokoll!$G$5:$G$200)</f>
        <v>15</v>
      </c>
      <c r="H59" s="3"/>
    </row>
    <row r="60" spans="3:8" x14ac:dyDescent="0.3">
      <c r="C60" s="5">
        <v>13</v>
      </c>
      <c r="D60" s="3">
        <f>SUMIF(Begleitprotokoll!$B$5:$B$203,Wochenstunden!$C60,Begleitprotokoll!$G$5:$G$203)</f>
        <v>14</v>
      </c>
    </row>
    <row r="61" spans="3:8" x14ac:dyDescent="0.3">
      <c r="C61" s="5">
        <v>14</v>
      </c>
      <c r="D61" s="3">
        <f>SUMIF(Begleitprotokoll!$B$5:$B$203,Wochenstunden!$C61,Begleitprotokoll!$G$5:$G$203)</f>
        <v>0</v>
      </c>
    </row>
    <row r="62" spans="3:8" x14ac:dyDescent="0.3">
      <c r="C62" s="5">
        <v>15</v>
      </c>
      <c r="D62" s="3">
        <f>SUMIF(Begleitprotokoll!$B$5:$B$203,Wochenstunden!$C62,Begleitprotokoll!$G$5:$G$203)</f>
        <v>19</v>
      </c>
    </row>
    <row r="63" spans="3:8" x14ac:dyDescent="0.3">
      <c r="D63" s="3"/>
    </row>
  </sheetData>
  <mergeCells count="1">
    <mergeCell ref="C8:D8"/>
  </mergeCells>
  <phoneticPr fontId="0" type="noConversion"/>
  <pageMargins left="0.7" right="0.7" top="0.78749999999999998" bottom="0.78749999999999998" header="0.51180555555555551" footer="0.51180555555555551"/>
  <pageSetup paperSize="9" firstPageNumber="0" orientation="portrait" horizontalDpi="300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067AD2B056D8444940990D952018BC3" ma:contentTypeVersion="3" ma:contentTypeDescription="Ein neues Dokument erstellen." ma:contentTypeScope="" ma:versionID="93685f8dc5a4bf59adc50d863541630c">
  <xsd:schema xmlns:xsd="http://www.w3.org/2001/XMLSchema" xmlns:xs="http://www.w3.org/2001/XMLSchema" xmlns:p="http://schemas.microsoft.com/office/2006/metadata/properties" xmlns:ns2="d547fa0d-83bc-4f36-8e52-df9a97b34ceb" targetNamespace="http://schemas.microsoft.com/office/2006/metadata/properties" ma:root="true" ma:fieldsID="5c90d005da77fb96be18ab65d73ee448" ns2:_="">
    <xsd:import namespace="d547fa0d-83bc-4f36-8e52-df9a97b34c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47fa0d-83bc-4f36-8e52-df9a97b34c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EBFCBE-A719-409F-8BE7-AA1A8F7F2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47fa0d-83bc-4f36-8e52-df9a97b34c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E0995F-5523-464E-96ED-BF1A4901DFD3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7adf83ab-5e43-45ba-a22e-7b0fb05f9f24"/>
    <ds:schemaRef ds:uri="http://purl.org/dc/dcmitype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D4D141D-07A0-4E53-A884-D40FAAA8E6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Begleitprotokoll</vt:lpstr>
      <vt:lpstr>Betreuungsprotokoll</vt:lpstr>
      <vt:lpstr>Wochenstunden</vt:lpstr>
      <vt:lpstr>A0</vt:lpstr>
      <vt:lpstr>Begleitprotokoll!Druckbereich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Polo</dc:creator>
  <cp:keywords/>
  <dc:description/>
  <cp:lastModifiedBy>Watzek Michael</cp:lastModifiedBy>
  <cp:revision/>
  <dcterms:created xsi:type="dcterms:W3CDTF">2011-09-01T12:41:17Z</dcterms:created>
  <dcterms:modified xsi:type="dcterms:W3CDTF">2026-04-25T09:43:25Z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0x0101008067AD2B056D8444940990D952018BC3</vt:lpwstr>
  </property>
</Properties>
</file>