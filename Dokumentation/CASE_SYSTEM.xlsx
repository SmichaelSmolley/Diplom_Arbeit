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ichael Watzek\Documents\Diplom_Arbeit\Dokumentation\"/>
    </mc:Choice>
  </mc:AlternateContent>
  <xr:revisionPtr revIDLastSave="0" documentId="8_{6C80AEA2-50CD-4DF6-BEB9-429214EE683E}" xr6:coauthVersionLast="47" xr6:coauthVersionMax="47" xr10:uidLastSave="{00000000-0000-0000-0000-000000000000}"/>
  <bookViews>
    <workbookView xWindow="-108" yWindow="-108" windowWidth="23256" windowHeight="12456" tabRatio="712" xr2:uid="{00000000-000D-0000-FFFF-FFFF00000000}"/>
  </bookViews>
  <sheets>
    <sheet name="Muster" sheetId="8" r:id="rId1"/>
  </sheets>
  <calcPr calcId="191028"/>
  <fileRecoveryPr autoRecover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7" i="8" l="1"/>
  <c r="I7" i="8"/>
  <c r="I6" i="8"/>
  <c r="K6" i="8" l="1"/>
  <c r="L8" i="8"/>
  <c r="K7" i="8"/>
  <c r="K8" i="8"/>
  <c r="L6" i="8"/>
  <c r="M6" i="8" s="1"/>
  <c r="L7" i="8"/>
  <c r="K9" i="8"/>
  <c r="L9" i="8"/>
  <c r="I10" i="8"/>
  <c r="K10" i="8"/>
  <c r="L10" i="8"/>
  <c r="I11" i="8"/>
  <c r="K11" i="8"/>
  <c r="L11" i="8"/>
  <c r="I12" i="8"/>
  <c r="I13" i="8"/>
  <c r="I14" i="8"/>
  <c r="I15" i="8"/>
  <c r="I16" i="8"/>
  <c r="I17" i="8"/>
  <c r="I18" i="8"/>
  <c r="I19" i="8"/>
  <c r="K12" i="8"/>
  <c r="K13" i="8"/>
  <c r="L15" i="8"/>
  <c r="K16" i="8"/>
  <c r="L17" i="8"/>
  <c r="L18" i="8"/>
  <c r="K19" i="8"/>
  <c r="K14" i="8" l="1"/>
  <c r="L14" i="8"/>
  <c r="L16" i="8"/>
  <c r="K17" i="8"/>
  <c r="L13" i="8"/>
  <c r="K15" i="8"/>
  <c r="L12" i="8"/>
  <c r="L19" i="8"/>
  <c r="K18" i="8"/>
  <c r="M20" i="8" l="1"/>
</calcChain>
</file>

<file path=xl/sharedStrings.xml><?xml version="1.0" encoding="utf-8"?>
<sst xmlns="http://schemas.openxmlformats.org/spreadsheetml/2006/main" count="34" uniqueCount="29">
  <si>
    <t>HTL-Hollabrunn</t>
  </si>
  <si>
    <t>Projektname:</t>
  </si>
  <si>
    <t>Firma:</t>
  </si>
  <si>
    <t>Datum:</t>
  </si>
  <si>
    <t>Materialbestellung</t>
  </si>
  <si>
    <t>Klasse: 5AHEL</t>
  </si>
  <si>
    <t>Bauteilinformation
Name</t>
  </si>
  <si>
    <t>Preis/Stück</t>
  </si>
  <si>
    <t>Preis/VPE</t>
  </si>
  <si>
    <t>Gesamt</t>
  </si>
  <si>
    <t>Bestellnr.</t>
  </si>
  <si>
    <t>benötigte
Stückzahl</t>
  </si>
  <si>
    <t>Stück/
VPE</t>
  </si>
  <si>
    <t>Anzahl VPE</t>
  </si>
  <si>
    <t>exkl. MWSt</t>
  </si>
  <si>
    <t>inkl. MWSt</t>
  </si>
  <si>
    <r>
      <rPr>
        <b/>
        <sz val="11"/>
        <color theme="1"/>
        <rFont val="Arial"/>
        <family val="2"/>
      </rPr>
      <t>Schüler:</t>
    </r>
    <r>
      <rPr>
        <sz val="11"/>
        <color theme="1"/>
        <rFont val="Arial"/>
        <family val="2"/>
      </rPr>
      <t xml:space="preserve"> …........................................................</t>
    </r>
  </si>
  <si>
    <r>
      <rPr>
        <b/>
        <sz val="11"/>
        <color theme="1"/>
        <rFont val="Arial"/>
        <family val="2"/>
      </rPr>
      <t>Projektleiter:</t>
    </r>
    <r>
      <rPr>
        <sz val="11"/>
        <color theme="1"/>
        <rFont val="Arial"/>
        <family val="2"/>
      </rPr>
      <t xml:space="preserve"> …........................................................</t>
    </r>
  </si>
  <si>
    <t>Lehrerkürzel:</t>
  </si>
  <si>
    <t>Summe:</t>
  </si>
  <si>
    <t xml:space="preserve">                               Unterschrift</t>
  </si>
  <si>
    <t>Projektnummer: 10313</t>
  </si>
  <si>
    <t>ADFET</t>
  </si>
  <si>
    <t>Reichelt</t>
  </si>
  <si>
    <t>Systemgehäuse
Artikel-Nr.: GEH SG 1-10</t>
  </si>
  <si>
    <t>Einschubkassetten 10TE(50,5mm)</t>
  </si>
  <si>
    <t>https://www.reichelt.de/de/de/shop/produkt/einschubkassetten_10te_50_5mm_-50417</t>
  </si>
  <si>
    <t>https://www.reichelt.de/de/de/shop/produkt/systemgehaeuse-50437</t>
  </si>
  <si>
    <t>Antragsteller: Watzek Michael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</si>
</sst>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[$€-2]\ #,##0.00"/>
  </numFmts>
  <fonts count="14" x14ac:knownFonts="1">
    <font>
      <sz val="11"/>
      <color theme="1"/>
      <name val="Calibri"/>
      <family val="2"/>
      <scheme val="minor"/>
    </font>
    <font>
      <b/>
      <sz val="11"/>
      <name val="Arial"/>
      <family val="2"/>
    </font>
    <font>
      <b/>
      <sz val="18"/>
      <name val="Arial"/>
      <family val="2"/>
    </font>
    <font>
      <b/>
      <sz val="10"/>
      <name val="Arial"/>
      <family val="2"/>
    </font>
    <font>
      <sz val="9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0"/>
      <name val="Arial"/>
      <family val="2"/>
    </font>
    <font>
      <sz val="10"/>
      <color theme="1"/>
      <name val="Arial"/>
      <family val="2"/>
    </font>
    <font>
      <sz val="10"/>
      <color rgb="FF333333"/>
      <name val="Arial"/>
      <family val="2"/>
    </font>
    <font>
      <sz val="10"/>
      <color rgb="FFFF0000"/>
      <name val="Arial"/>
      <family val="2"/>
    </font>
    <font>
      <sz val="10"/>
      <color theme="1"/>
      <name val="Arial"/>
    </font>
    <font>
      <u/>
      <sz val="11"/>
      <color theme="10"/>
      <name val="Calibri"/>
      <family val="2"/>
      <scheme val="minor"/>
    </font>
    <font>
      <sz val="10"/>
      <color rgb="FF0F111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FFFF"/>
        <bgColor indexed="64"/>
      </patternFill>
    </fill>
  </fills>
  <borders count="34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2" fillId="0" borderId="0" applyNumberFormat="0" applyFill="0" applyBorder="0" applyAlignment="0" applyProtection="0"/>
  </cellStyleXfs>
  <cellXfs count="105">
    <xf numFmtId="0" fontId="0" fillId="0" borderId="0" xfId="0"/>
    <xf numFmtId="0" fontId="3" fillId="0" borderId="15" xfId="0" applyFont="1" applyBorder="1" applyAlignment="1">
      <alignment horizontal="center" vertical="center"/>
    </xf>
    <xf numFmtId="0" fontId="3" fillId="0" borderId="26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29" xfId="0" applyFont="1" applyBorder="1" applyAlignment="1">
      <alignment horizontal="center" vertical="center"/>
    </xf>
    <xf numFmtId="0" fontId="3" fillId="0" borderId="28" xfId="0" applyFont="1" applyBorder="1" applyAlignment="1">
      <alignment horizontal="center" vertical="center"/>
    </xf>
    <xf numFmtId="0" fontId="3" fillId="0" borderId="25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3" fillId="0" borderId="20" xfId="0" applyFont="1" applyBorder="1" applyAlignment="1">
      <alignment horizontal="center" vertical="center" wrapText="1"/>
    </xf>
    <xf numFmtId="0" fontId="9" fillId="0" borderId="22" xfId="0" applyFont="1" applyBorder="1" applyAlignment="1">
      <alignment horizontal="right" vertical="center"/>
    </xf>
    <xf numFmtId="0" fontId="7" fillId="2" borderId="6" xfId="0" applyFont="1" applyFill="1" applyBorder="1" applyAlignment="1">
      <alignment horizontal="center" vertical="center"/>
    </xf>
    <xf numFmtId="0" fontId="7" fillId="2" borderId="4" xfId="0" applyFont="1" applyFill="1" applyBorder="1" applyAlignment="1">
      <alignment horizontal="center" vertical="center"/>
    </xf>
    <xf numFmtId="0" fontId="7" fillId="2" borderId="22" xfId="0" applyFont="1" applyFill="1" applyBorder="1" applyAlignment="1">
      <alignment horizontal="center" vertical="center"/>
    </xf>
    <xf numFmtId="164" fontId="7" fillId="2" borderId="30" xfId="0" applyNumberFormat="1" applyFont="1" applyFill="1" applyBorder="1" applyAlignment="1">
      <alignment vertical="center"/>
    </xf>
    <xf numFmtId="164" fontId="8" fillId="0" borderId="6" xfId="0" applyNumberFormat="1" applyFont="1" applyBorder="1" applyAlignment="1">
      <alignment horizontal="right" vertical="center"/>
    </xf>
    <xf numFmtId="164" fontId="8" fillId="0" borderId="16" xfId="0" applyNumberFormat="1" applyFont="1" applyBorder="1" applyAlignment="1">
      <alignment horizontal="right" vertical="center"/>
    </xf>
    <xf numFmtId="164" fontId="7" fillId="0" borderId="17" xfId="0" applyNumberFormat="1" applyFont="1" applyBorder="1" applyAlignment="1">
      <alignment vertical="center"/>
    </xf>
    <xf numFmtId="0" fontId="7" fillId="0" borderId="6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164" fontId="8" fillId="0" borderId="16" xfId="0" applyNumberFormat="1" applyFont="1" applyBorder="1" applyAlignment="1">
      <alignment vertical="center"/>
    </xf>
    <xf numFmtId="164" fontId="8" fillId="2" borderId="19" xfId="0" applyNumberFormat="1" applyFont="1" applyFill="1" applyBorder="1" applyAlignment="1">
      <alignment vertical="center"/>
    </xf>
    <xf numFmtId="0" fontId="7" fillId="0" borderId="22" xfId="0" applyFont="1" applyBorder="1" applyAlignment="1">
      <alignment horizontal="center" vertical="center"/>
    </xf>
    <xf numFmtId="0" fontId="8" fillId="2" borderId="6" xfId="0" applyFont="1" applyFill="1" applyBorder="1" applyAlignment="1">
      <alignment horizontal="center" vertical="center"/>
    </xf>
    <xf numFmtId="0" fontId="8" fillId="2" borderId="4" xfId="0" applyFont="1" applyFill="1" applyBorder="1" applyAlignment="1">
      <alignment horizontal="center" vertical="center"/>
    </xf>
    <xf numFmtId="164" fontId="8" fillId="2" borderId="16" xfId="0" applyNumberFormat="1" applyFont="1" applyFill="1" applyBorder="1" applyAlignment="1">
      <alignment vertical="center"/>
    </xf>
    <xf numFmtId="164" fontId="8" fillId="2" borderId="16" xfId="0" applyNumberFormat="1" applyFont="1" applyFill="1" applyBorder="1" applyAlignment="1">
      <alignment horizontal="center" vertical="center"/>
    </xf>
    <xf numFmtId="164" fontId="8" fillId="0" borderId="17" xfId="0" applyNumberFormat="1" applyFont="1" applyBorder="1" applyAlignment="1">
      <alignment vertical="center"/>
    </xf>
    <xf numFmtId="0" fontId="8" fillId="0" borderId="23" xfId="0" applyFont="1" applyBorder="1" applyAlignment="1">
      <alignment vertical="center"/>
    </xf>
    <xf numFmtId="0" fontId="8" fillId="0" borderId="4" xfId="0" applyFont="1" applyBorder="1" applyAlignment="1">
      <alignment vertical="center"/>
    </xf>
    <xf numFmtId="0" fontId="8" fillId="0" borderId="31" xfId="0" applyFont="1" applyBorder="1" applyAlignment="1">
      <alignment vertical="center"/>
    </xf>
    <xf numFmtId="0" fontId="8" fillId="0" borderId="6" xfId="0" applyFont="1" applyBorder="1" applyAlignment="1">
      <alignment vertical="center"/>
    </xf>
    <xf numFmtId="0" fontId="8" fillId="0" borderId="14" xfId="0" applyFont="1" applyBorder="1" applyAlignment="1">
      <alignment vertical="center"/>
    </xf>
    <xf numFmtId="164" fontId="8" fillId="0" borderId="19" xfId="0" applyNumberFormat="1" applyFont="1" applyBorder="1" applyAlignment="1">
      <alignment vertical="center"/>
    </xf>
    <xf numFmtId="0" fontId="7" fillId="0" borderId="28" xfId="0" applyFont="1" applyBorder="1" applyAlignment="1">
      <alignment horizontal="center" vertical="center"/>
    </xf>
    <xf numFmtId="164" fontId="7" fillId="2" borderId="29" xfId="0" applyNumberFormat="1" applyFont="1" applyFill="1" applyBorder="1" applyAlignment="1">
      <alignment vertical="center"/>
    </xf>
    <xf numFmtId="164" fontId="8" fillId="0" borderId="15" xfId="0" applyNumberFormat="1" applyFont="1" applyBorder="1" applyAlignment="1">
      <alignment vertical="center"/>
    </xf>
    <xf numFmtId="164" fontId="8" fillId="0" borderId="29" xfId="0" applyNumberFormat="1" applyFont="1" applyBorder="1" applyAlignment="1">
      <alignment horizontal="right" vertical="center"/>
    </xf>
    <xf numFmtId="164" fontId="8" fillId="0" borderId="15" xfId="0" applyNumberFormat="1" applyFont="1" applyBorder="1" applyAlignment="1">
      <alignment horizontal="right" vertical="center"/>
    </xf>
    <xf numFmtId="164" fontId="8" fillId="0" borderId="18" xfId="0" applyNumberFormat="1" applyFont="1" applyBorder="1" applyAlignment="1">
      <alignment vertical="center"/>
    </xf>
    <xf numFmtId="0" fontId="12" fillId="0" borderId="0" xfId="1"/>
    <xf numFmtId="165" fontId="5" fillId="0" borderId="12" xfId="0" applyNumberFormat="1" applyFont="1" applyBorder="1" applyAlignment="1">
      <alignment horizontal="center" vertical="center"/>
    </xf>
    <xf numFmtId="165" fontId="5" fillId="0" borderId="10" xfId="0" applyNumberFormat="1" applyFont="1" applyBorder="1" applyAlignment="1">
      <alignment horizontal="center" vertical="center"/>
    </xf>
    <xf numFmtId="0" fontId="1" fillId="0" borderId="9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4" fillId="0" borderId="7" xfId="0" applyFont="1" applyBorder="1" applyAlignment="1">
      <alignment vertical="center"/>
    </xf>
    <xf numFmtId="0" fontId="4" fillId="0" borderId="1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0" fontId="7" fillId="2" borderId="32" xfId="0" applyFont="1" applyFill="1" applyBorder="1" applyAlignment="1">
      <alignment vertical="center"/>
    </xf>
    <xf numFmtId="0" fontId="7" fillId="2" borderId="5" xfId="0" applyFont="1" applyFill="1" applyBorder="1" applyAlignment="1">
      <alignment vertical="center"/>
    </xf>
    <xf numFmtId="0" fontId="7" fillId="2" borderId="17" xfId="0" applyFont="1" applyFill="1" applyBorder="1" applyAlignment="1">
      <alignment vertical="center"/>
    </xf>
    <xf numFmtId="0" fontId="8" fillId="0" borderId="5" xfId="0" applyFont="1" applyBorder="1" applyAlignment="1">
      <alignment vertical="center"/>
    </xf>
    <xf numFmtId="0" fontId="8" fillId="0" borderId="17" xfId="0" applyFont="1" applyBorder="1" applyAlignment="1">
      <alignment vertical="center"/>
    </xf>
    <xf numFmtId="0" fontId="7" fillId="2" borderId="33" xfId="0" applyFont="1" applyFill="1" applyBorder="1" applyAlignment="1">
      <alignment vertical="center"/>
    </xf>
    <xf numFmtId="0" fontId="8" fillId="0" borderId="21" xfId="0" applyFont="1" applyBorder="1" applyAlignment="1">
      <alignment vertical="center"/>
    </xf>
    <xf numFmtId="0" fontId="8" fillId="0" borderId="18" xfId="0" applyFont="1" applyBorder="1" applyAlignment="1">
      <alignment vertical="center"/>
    </xf>
    <xf numFmtId="0" fontId="1" fillId="0" borderId="11" xfId="0" applyFont="1" applyBorder="1" applyAlignment="1">
      <alignment horizontal="left" vertical="center"/>
    </xf>
    <xf numFmtId="0" fontId="1" fillId="0" borderId="8" xfId="0" applyFont="1" applyBorder="1" applyAlignment="1">
      <alignment horizontal="left" vertical="center"/>
    </xf>
    <xf numFmtId="0" fontId="5" fillId="0" borderId="11" xfId="0" applyFont="1" applyBorder="1"/>
    <xf numFmtId="0" fontId="5" fillId="0" borderId="8" xfId="0" applyFont="1" applyBorder="1"/>
    <xf numFmtId="0" fontId="5" fillId="0" borderId="12" xfId="0" applyFont="1" applyBorder="1"/>
    <xf numFmtId="0" fontId="5" fillId="0" borderId="9" xfId="0" applyFont="1" applyBorder="1"/>
    <xf numFmtId="0" fontId="5" fillId="0" borderId="0" xfId="0" applyFont="1"/>
    <xf numFmtId="0" fontId="5" fillId="0" borderId="10" xfId="0" applyFont="1" applyBorder="1"/>
    <xf numFmtId="0" fontId="3" fillId="0" borderId="11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 vertical="center"/>
    </xf>
    <xf numFmtId="0" fontId="3" fillId="0" borderId="12" xfId="0" applyFont="1" applyBorder="1" applyAlignment="1">
      <alignment horizontal="left" vertical="center"/>
    </xf>
    <xf numFmtId="0" fontId="3" fillId="0" borderId="7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3" fillId="0" borderId="3" xfId="0" applyFont="1" applyBorder="1" applyAlignment="1">
      <alignment horizontal="left" vertical="center"/>
    </xf>
    <xf numFmtId="0" fontId="3" fillId="0" borderId="27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5" fillId="0" borderId="24" xfId="0" applyFont="1" applyBorder="1" applyAlignment="1">
      <alignment horizontal="center" vertical="center"/>
    </xf>
    <xf numFmtId="0" fontId="11" fillId="0" borderId="5" xfId="0" applyFont="1" applyBorder="1" applyAlignment="1">
      <alignment vertical="center"/>
    </xf>
    <xf numFmtId="0" fontId="11" fillId="0" borderId="17" xfId="0" applyFont="1" applyBorder="1" applyAlignment="1">
      <alignment vertical="center"/>
    </xf>
    <xf numFmtId="0" fontId="10" fillId="2" borderId="32" xfId="0" applyFont="1" applyFill="1" applyBorder="1" applyAlignment="1">
      <alignment vertical="center"/>
    </xf>
    <xf numFmtId="0" fontId="10" fillId="2" borderId="5" xfId="0" applyFont="1" applyFill="1" applyBorder="1" applyAlignment="1">
      <alignment vertical="center"/>
    </xf>
    <xf numFmtId="0" fontId="10" fillId="2" borderId="17" xfId="0" applyFont="1" applyFill="1" applyBorder="1" applyAlignment="1">
      <alignment vertical="center"/>
    </xf>
    <xf numFmtId="0" fontId="1" fillId="0" borderId="0" xfId="0" applyFont="1" applyAlignment="1">
      <alignment horizontal="right" vertical="center"/>
    </xf>
    <xf numFmtId="0" fontId="1" fillId="0" borderId="7" xfId="0" applyFont="1" applyBorder="1" applyAlignment="1">
      <alignment horizontal="right" vertical="center"/>
    </xf>
    <xf numFmtId="0" fontId="5" fillId="0" borderId="1" xfId="0" applyFont="1" applyBorder="1" applyAlignment="1">
      <alignment vertical="center"/>
    </xf>
    <xf numFmtId="0" fontId="5" fillId="0" borderId="3" xfId="0" applyFont="1" applyBorder="1" applyAlignment="1">
      <alignment vertical="center"/>
    </xf>
    <xf numFmtId="0" fontId="6" fillId="0" borderId="11" xfId="0" applyFont="1" applyBorder="1"/>
    <xf numFmtId="0" fontId="5" fillId="0" borderId="9" xfId="0" applyFont="1" applyBorder="1" applyAlignment="1">
      <alignment vertical="center"/>
    </xf>
    <xf numFmtId="0" fontId="5" fillId="0" borderId="7" xfId="0" applyFont="1" applyBorder="1"/>
    <xf numFmtId="0" fontId="5" fillId="0" borderId="3" xfId="0" applyFont="1" applyBorder="1"/>
    <xf numFmtId="0" fontId="1" fillId="0" borderId="11" xfId="0" applyFont="1" applyBorder="1" applyAlignment="1">
      <alignment vertical="center"/>
    </xf>
    <xf numFmtId="0" fontId="1" fillId="0" borderId="8" xfId="0" applyFont="1" applyBorder="1" applyAlignment="1">
      <alignment vertical="center"/>
    </xf>
    <xf numFmtId="0" fontId="1" fillId="0" borderId="12" xfId="0" applyFont="1" applyBorder="1" applyAlignment="1">
      <alignment vertical="center"/>
    </xf>
    <xf numFmtId="0" fontId="1" fillId="0" borderId="7" xfId="0" applyFont="1" applyBorder="1" applyAlignment="1">
      <alignment vertical="center"/>
    </xf>
    <xf numFmtId="0" fontId="1" fillId="0" borderId="1" xfId="0" applyFont="1" applyBorder="1" applyAlignment="1">
      <alignment vertical="center"/>
    </xf>
    <xf numFmtId="0" fontId="1" fillId="0" borderId="3" xfId="0" applyFont="1" applyBorder="1" applyAlignment="1">
      <alignment vertical="center"/>
    </xf>
    <xf numFmtId="0" fontId="2" fillId="0" borderId="7" xfId="0" applyFont="1" applyBorder="1" applyAlignment="1">
      <alignment vertical="center"/>
    </xf>
    <xf numFmtId="0" fontId="2" fillId="0" borderId="1" xfId="0" applyFont="1" applyBorder="1" applyAlignment="1">
      <alignment vertical="center"/>
    </xf>
    <xf numFmtId="0" fontId="2" fillId="0" borderId="3" xfId="0" applyFont="1" applyBorder="1" applyAlignment="1">
      <alignment vertical="center"/>
    </xf>
    <xf numFmtId="14" fontId="1" fillId="0" borderId="7" xfId="0" applyNumberFormat="1" applyFont="1" applyBorder="1" applyAlignment="1">
      <alignment horizontal="left" vertical="center"/>
    </xf>
    <xf numFmtId="0" fontId="1" fillId="0" borderId="3" xfId="0" applyFont="1" applyBorder="1" applyAlignment="1">
      <alignment horizontal="left" vertical="center"/>
    </xf>
    <xf numFmtId="0" fontId="13" fillId="3" borderId="32" xfId="0" applyFont="1" applyFill="1" applyBorder="1" applyAlignment="1">
      <alignment vertical="center" wrapText="1"/>
    </xf>
    <xf numFmtId="0" fontId="7" fillId="2" borderId="32" xfId="0" applyFont="1" applyFill="1" applyBorder="1" applyAlignment="1">
      <alignment horizontal="left" vertical="center"/>
    </xf>
    <xf numFmtId="0" fontId="7" fillId="2" borderId="5" xfId="0" applyFont="1" applyFill="1" applyBorder="1" applyAlignment="1">
      <alignment horizontal="left" vertical="center"/>
    </xf>
    <xf numFmtId="0" fontId="7" fillId="2" borderId="17" xfId="0" applyFont="1" applyFill="1" applyBorder="1" applyAlignment="1">
      <alignment horizontal="left" vertical="center"/>
    </xf>
  </cellXfs>
  <cellStyles count="2">
    <cellStyle name="Link" xfId="1" builtinId="8"/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reichelt.de/de/de/shop/produkt/einschubkassetten_10te_50_5mm_-5041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N26"/>
  <sheetViews>
    <sheetView tabSelected="1" zoomScaleNormal="100" workbookViewId="0">
      <selection activeCell="A3" sqref="A3:C3"/>
    </sheetView>
  </sheetViews>
  <sheetFormatPr baseColWidth="10" defaultColWidth="11.44140625" defaultRowHeight="14.4" x14ac:dyDescent="0.3"/>
  <cols>
    <col min="1" max="2" width="15.6640625" customWidth="1"/>
    <col min="3" max="3" width="10.6640625" customWidth="1"/>
    <col min="4" max="4" width="25.5546875" customWidth="1"/>
    <col min="5" max="5" width="17" customWidth="1"/>
    <col min="6" max="7" width="10.6640625" customWidth="1"/>
    <col min="8" max="8" width="11.109375" customWidth="1"/>
    <col min="9" max="13" width="11.5546875" customWidth="1"/>
  </cols>
  <sheetData>
    <row r="1" spans="1:14" ht="21.9" customHeight="1" x14ac:dyDescent="0.3">
      <c r="A1" s="90" t="s">
        <v>0</v>
      </c>
      <c r="B1" s="91"/>
      <c r="C1" s="92"/>
      <c r="D1" s="90" t="s">
        <v>1</v>
      </c>
      <c r="E1" s="91"/>
      <c r="F1" s="92"/>
      <c r="G1" s="90" t="s">
        <v>2</v>
      </c>
      <c r="H1" s="91"/>
      <c r="I1" s="91"/>
      <c r="J1" s="91"/>
      <c r="K1" s="92"/>
      <c r="L1" s="90" t="s">
        <v>3</v>
      </c>
      <c r="M1" s="92"/>
    </row>
    <row r="2" spans="1:14" ht="27" customHeight="1" x14ac:dyDescent="0.3">
      <c r="A2" s="93" t="s">
        <v>4</v>
      </c>
      <c r="B2" s="94"/>
      <c r="C2" s="95"/>
      <c r="D2" s="96" t="s">
        <v>22</v>
      </c>
      <c r="E2" s="97"/>
      <c r="F2" s="98"/>
      <c r="G2" s="93" t="s">
        <v>23</v>
      </c>
      <c r="H2" s="94"/>
      <c r="I2" s="94"/>
      <c r="J2" s="94"/>
      <c r="K2" s="95"/>
      <c r="L2" s="99">
        <v>46197</v>
      </c>
      <c r="M2" s="100"/>
    </row>
    <row r="3" spans="1:14" ht="30" customHeight="1" x14ac:dyDescent="0.3">
      <c r="A3" s="90" t="s">
        <v>28</v>
      </c>
      <c r="B3" s="91"/>
      <c r="C3" s="92"/>
      <c r="D3" s="90" t="s">
        <v>5</v>
      </c>
      <c r="E3" s="91"/>
      <c r="F3" s="90" t="s">
        <v>21</v>
      </c>
      <c r="G3" s="91"/>
      <c r="H3" s="91"/>
      <c r="I3" s="91"/>
      <c r="J3" s="91"/>
      <c r="K3" s="92"/>
      <c r="L3" s="90"/>
      <c r="M3" s="92"/>
    </row>
    <row r="4" spans="1:14" ht="21.9" customHeight="1" thickBot="1" x14ac:dyDescent="0.35">
      <c r="A4" s="67" t="s">
        <v>6</v>
      </c>
      <c r="B4" s="68"/>
      <c r="C4" s="68"/>
      <c r="D4" s="69"/>
      <c r="E4" s="8"/>
      <c r="F4" s="73"/>
      <c r="G4" s="73"/>
      <c r="H4" s="3"/>
      <c r="I4" s="74" t="s">
        <v>7</v>
      </c>
      <c r="J4" s="75"/>
      <c r="K4" s="73" t="s">
        <v>8</v>
      </c>
      <c r="L4" s="76"/>
      <c r="M4" s="3" t="s">
        <v>9</v>
      </c>
    </row>
    <row r="5" spans="1:14" ht="31.5" customHeight="1" thickBot="1" x14ac:dyDescent="0.35">
      <c r="A5" s="70"/>
      <c r="B5" s="71"/>
      <c r="C5" s="71"/>
      <c r="D5" s="72"/>
      <c r="E5" s="6" t="s">
        <v>10</v>
      </c>
      <c r="F5" s="9" t="s">
        <v>11</v>
      </c>
      <c r="G5" s="10" t="s">
        <v>12</v>
      </c>
      <c r="H5" s="6" t="s">
        <v>13</v>
      </c>
      <c r="I5" s="5" t="s">
        <v>14</v>
      </c>
      <c r="J5" s="1" t="s">
        <v>15</v>
      </c>
      <c r="K5" s="4" t="s">
        <v>14</v>
      </c>
      <c r="L5" s="2" t="s">
        <v>15</v>
      </c>
      <c r="M5" s="7" t="s">
        <v>15</v>
      </c>
    </row>
    <row r="6" spans="1:14" ht="31.2" customHeight="1" x14ac:dyDescent="0.3">
      <c r="A6" s="101" t="s">
        <v>24</v>
      </c>
      <c r="B6" s="77"/>
      <c r="C6" s="77"/>
      <c r="D6" s="78"/>
      <c r="E6" s="11"/>
      <c r="F6" s="12">
        <v>1</v>
      </c>
      <c r="G6" s="13">
        <v>1</v>
      </c>
      <c r="H6" s="14">
        <v>1</v>
      </c>
      <c r="I6" s="15">
        <f>0.8*J6</f>
        <v>60.720000000000006</v>
      </c>
      <c r="J6" s="15">
        <v>75.900000000000006</v>
      </c>
      <c r="K6" s="16">
        <f>I6*H6</f>
        <v>60.720000000000006</v>
      </c>
      <c r="L6" s="16">
        <f>J6</f>
        <v>75.900000000000006</v>
      </c>
      <c r="M6" s="18">
        <f t="shared" ref="M6:M7" si="0">L6</f>
        <v>75.900000000000006</v>
      </c>
      <c r="N6" s="43" t="s">
        <v>27</v>
      </c>
    </row>
    <row r="7" spans="1:14" ht="21.9" customHeight="1" x14ac:dyDescent="0.3">
      <c r="A7" s="102" t="s">
        <v>25</v>
      </c>
      <c r="B7" s="103"/>
      <c r="C7" s="103"/>
      <c r="D7" s="104"/>
      <c r="E7" s="11"/>
      <c r="F7" s="19">
        <v>1</v>
      </c>
      <c r="G7" s="20">
        <v>1</v>
      </c>
      <c r="H7" s="14">
        <v>1</v>
      </c>
      <c r="I7" s="15">
        <f>0.8*J7</f>
        <v>28.360000000000003</v>
      </c>
      <c r="J7" s="15">
        <v>35.450000000000003</v>
      </c>
      <c r="K7" s="16">
        <f t="shared" ref="K7:K19" si="1">I7*H7*G7</f>
        <v>28.360000000000003</v>
      </c>
      <c r="L7" s="16">
        <f>J7*H7</f>
        <v>35.450000000000003</v>
      </c>
      <c r="M7" s="18">
        <f t="shared" si="0"/>
        <v>35.450000000000003</v>
      </c>
      <c r="N7" s="43" t="s">
        <v>26</v>
      </c>
    </row>
    <row r="8" spans="1:14" ht="21.9" customHeight="1" x14ac:dyDescent="0.3">
      <c r="A8" s="51"/>
      <c r="B8" s="52"/>
      <c r="C8" s="52"/>
      <c r="D8" s="53"/>
      <c r="E8" s="11"/>
      <c r="F8" s="21"/>
      <c r="G8" s="22"/>
      <c r="H8" s="14"/>
      <c r="I8" s="15">
        <v>0</v>
      </c>
      <c r="J8" s="15"/>
      <c r="K8" s="16">
        <f t="shared" si="1"/>
        <v>0</v>
      </c>
      <c r="L8" s="16">
        <f>J8*H8</f>
        <v>0</v>
      </c>
      <c r="M8" s="18"/>
    </row>
    <row r="9" spans="1:14" ht="21.9" customHeight="1" x14ac:dyDescent="0.3">
      <c r="A9" s="51"/>
      <c r="B9" s="52"/>
      <c r="C9" s="52"/>
      <c r="D9" s="53"/>
      <c r="E9" s="25"/>
      <c r="F9" s="19"/>
      <c r="G9" s="20"/>
      <c r="H9" s="14"/>
      <c r="I9" s="15">
        <v>0</v>
      </c>
      <c r="J9" s="24"/>
      <c r="K9" s="16">
        <f t="shared" ref="K9" si="2">I9*H9*G9</f>
        <v>0</v>
      </c>
      <c r="L9" s="17">
        <f t="shared" ref="L9" si="3">J9*H9*G9</f>
        <v>0</v>
      </c>
      <c r="M9" s="18"/>
    </row>
    <row r="10" spans="1:14" ht="21.9" customHeight="1" x14ac:dyDescent="0.3">
      <c r="A10" s="51"/>
      <c r="B10" s="52"/>
      <c r="C10" s="52"/>
      <c r="D10" s="53"/>
      <c r="E10" s="25"/>
      <c r="F10" s="26"/>
      <c r="G10" s="27"/>
      <c r="H10" s="14"/>
      <c r="I10" s="15">
        <f t="shared" ref="I10:I19" si="4">J10/1.2</f>
        <v>0</v>
      </c>
      <c r="J10" s="28"/>
      <c r="K10" s="16">
        <f t="shared" si="1"/>
        <v>0</v>
      </c>
      <c r="L10" s="17">
        <f t="shared" ref="L10:L19" si="5">J10*H10*G10</f>
        <v>0</v>
      </c>
      <c r="M10" s="18"/>
    </row>
    <row r="11" spans="1:14" ht="21.9" customHeight="1" x14ac:dyDescent="0.3">
      <c r="A11" s="51"/>
      <c r="B11" s="52"/>
      <c r="C11" s="52"/>
      <c r="D11" s="53"/>
      <c r="E11" s="25"/>
      <c r="F11" s="26"/>
      <c r="G11" s="27"/>
      <c r="H11" s="14"/>
      <c r="I11" s="15">
        <f t="shared" si="4"/>
        <v>0</v>
      </c>
      <c r="J11" s="29"/>
      <c r="K11" s="16">
        <f t="shared" si="1"/>
        <v>0</v>
      </c>
      <c r="L11" s="17">
        <f t="shared" si="5"/>
        <v>0</v>
      </c>
      <c r="M11" s="30"/>
    </row>
    <row r="12" spans="1:14" ht="21.9" customHeight="1" x14ac:dyDescent="0.3">
      <c r="A12" s="51"/>
      <c r="B12" s="52"/>
      <c r="C12" s="52"/>
      <c r="D12" s="53"/>
      <c r="E12" s="25"/>
      <c r="F12" s="26"/>
      <c r="G12" s="27"/>
      <c r="H12" s="14"/>
      <c r="I12" s="15">
        <f t="shared" si="4"/>
        <v>0</v>
      </c>
      <c r="J12" s="29"/>
      <c r="K12" s="16">
        <f t="shared" si="1"/>
        <v>0</v>
      </c>
      <c r="L12" s="17">
        <f t="shared" si="5"/>
        <v>0</v>
      </c>
      <c r="M12" s="30"/>
    </row>
    <row r="13" spans="1:14" ht="21.9" customHeight="1" x14ac:dyDescent="0.3">
      <c r="A13" s="51"/>
      <c r="B13" s="52"/>
      <c r="C13" s="52"/>
      <c r="D13" s="53"/>
      <c r="E13" s="25"/>
      <c r="F13" s="31"/>
      <c r="G13" s="32"/>
      <c r="H13" s="14"/>
      <c r="I13" s="15">
        <f t="shared" si="4"/>
        <v>0</v>
      </c>
      <c r="J13" s="23"/>
      <c r="K13" s="16">
        <f t="shared" si="1"/>
        <v>0</v>
      </c>
      <c r="L13" s="17">
        <f t="shared" si="5"/>
        <v>0</v>
      </c>
      <c r="M13" s="30"/>
    </row>
    <row r="14" spans="1:14" ht="21.9" customHeight="1" x14ac:dyDescent="0.3">
      <c r="A14" s="79"/>
      <c r="B14" s="80"/>
      <c r="C14" s="80"/>
      <c r="D14" s="81"/>
      <c r="E14" s="33"/>
      <c r="F14" s="34"/>
      <c r="G14" s="35"/>
      <c r="H14" s="14"/>
      <c r="I14" s="15">
        <f t="shared" si="4"/>
        <v>0</v>
      </c>
      <c r="J14" s="36"/>
      <c r="K14" s="16">
        <f t="shared" si="1"/>
        <v>0</v>
      </c>
      <c r="L14" s="17">
        <f t="shared" si="5"/>
        <v>0</v>
      </c>
      <c r="M14" s="30"/>
    </row>
    <row r="15" spans="1:14" ht="21.9" customHeight="1" x14ac:dyDescent="0.3">
      <c r="A15" s="51"/>
      <c r="B15" s="52"/>
      <c r="C15" s="52"/>
      <c r="D15" s="53"/>
      <c r="E15" s="25"/>
      <c r="F15" s="34"/>
      <c r="G15" s="32"/>
      <c r="H15" s="14"/>
      <c r="I15" s="15">
        <f t="shared" si="4"/>
        <v>0</v>
      </c>
      <c r="J15" s="23"/>
      <c r="K15" s="16">
        <f t="shared" si="1"/>
        <v>0</v>
      </c>
      <c r="L15" s="17">
        <f t="shared" si="5"/>
        <v>0</v>
      </c>
      <c r="M15" s="30"/>
    </row>
    <row r="16" spans="1:14" ht="21.9" customHeight="1" x14ac:dyDescent="0.3">
      <c r="A16" s="51"/>
      <c r="B16" s="52"/>
      <c r="C16" s="52"/>
      <c r="D16" s="53"/>
      <c r="E16" s="25"/>
      <c r="F16" s="34"/>
      <c r="G16" s="32"/>
      <c r="H16" s="14"/>
      <c r="I16" s="15">
        <f t="shared" si="4"/>
        <v>0</v>
      </c>
      <c r="J16" s="23"/>
      <c r="K16" s="16">
        <f t="shared" si="1"/>
        <v>0</v>
      </c>
      <c r="L16" s="17">
        <f t="shared" si="5"/>
        <v>0</v>
      </c>
      <c r="M16" s="30"/>
    </row>
    <row r="17" spans="1:13" ht="21.9" customHeight="1" x14ac:dyDescent="0.3">
      <c r="A17" s="51"/>
      <c r="B17" s="52"/>
      <c r="C17" s="52"/>
      <c r="D17" s="53"/>
      <c r="E17" s="25"/>
      <c r="F17" s="34"/>
      <c r="G17" s="32"/>
      <c r="H17" s="14"/>
      <c r="I17" s="15">
        <f t="shared" si="4"/>
        <v>0</v>
      </c>
      <c r="J17" s="23"/>
      <c r="K17" s="16">
        <f t="shared" si="1"/>
        <v>0</v>
      </c>
      <c r="L17" s="17">
        <f t="shared" si="5"/>
        <v>0</v>
      </c>
      <c r="M17" s="30"/>
    </row>
    <row r="18" spans="1:13" ht="21.9" customHeight="1" x14ac:dyDescent="0.3">
      <c r="A18" s="51"/>
      <c r="B18" s="54"/>
      <c r="C18" s="54"/>
      <c r="D18" s="55"/>
      <c r="E18" s="25"/>
      <c r="F18" s="34"/>
      <c r="G18" s="32"/>
      <c r="H18" s="14"/>
      <c r="I18" s="15">
        <f t="shared" si="4"/>
        <v>0</v>
      </c>
      <c r="J18" s="23"/>
      <c r="K18" s="16">
        <f t="shared" si="1"/>
        <v>0</v>
      </c>
      <c r="L18" s="17">
        <f t="shared" si="5"/>
        <v>0</v>
      </c>
      <c r="M18" s="30"/>
    </row>
    <row r="19" spans="1:13" ht="21.9" customHeight="1" thickBot="1" x14ac:dyDescent="0.35">
      <c r="A19" s="56"/>
      <c r="B19" s="57"/>
      <c r="C19" s="57"/>
      <c r="D19" s="58"/>
      <c r="E19" s="37"/>
      <c r="F19" s="34"/>
      <c r="G19" s="32"/>
      <c r="H19" s="14"/>
      <c r="I19" s="38">
        <f t="shared" si="4"/>
        <v>0</v>
      </c>
      <c r="J19" s="39"/>
      <c r="K19" s="40">
        <f t="shared" si="1"/>
        <v>0</v>
      </c>
      <c r="L19" s="41">
        <f t="shared" si="5"/>
        <v>0</v>
      </c>
      <c r="M19" s="42"/>
    </row>
    <row r="20" spans="1:13" ht="21.9" customHeight="1" x14ac:dyDescent="0.3">
      <c r="A20" s="61" t="s">
        <v>16</v>
      </c>
      <c r="B20" s="62"/>
      <c r="C20" s="62"/>
      <c r="D20" s="63"/>
      <c r="E20" s="61" t="s">
        <v>17</v>
      </c>
      <c r="F20" s="62"/>
      <c r="G20" s="62"/>
      <c r="H20" s="63"/>
      <c r="I20" s="86" t="s">
        <v>18</v>
      </c>
      <c r="J20" s="63"/>
      <c r="K20" s="59" t="s">
        <v>19</v>
      </c>
      <c r="L20" s="60"/>
      <c r="M20" s="44">
        <f>SUM(M6:M19)</f>
        <v>111.35000000000001</v>
      </c>
    </row>
    <row r="21" spans="1:13" ht="21.9" customHeight="1" x14ac:dyDescent="0.3">
      <c r="A21" s="64"/>
      <c r="B21" s="65"/>
      <c r="C21" s="65"/>
      <c r="D21" s="66"/>
      <c r="E21" s="64"/>
      <c r="F21" s="65"/>
      <c r="G21" s="65"/>
      <c r="H21" s="66"/>
      <c r="I21" s="87"/>
      <c r="J21" s="66"/>
      <c r="K21" s="46" t="s">
        <v>15</v>
      </c>
      <c r="L21" s="47"/>
      <c r="M21" s="45"/>
    </row>
    <row r="22" spans="1:13" ht="21.9" customHeight="1" thickBot="1" x14ac:dyDescent="0.35">
      <c r="A22" s="48" t="s">
        <v>20</v>
      </c>
      <c r="B22" s="49"/>
      <c r="C22" s="49"/>
      <c r="D22" s="50"/>
      <c r="E22" s="48" t="s">
        <v>20</v>
      </c>
      <c r="F22" s="49"/>
      <c r="G22" s="49"/>
      <c r="H22" s="50"/>
      <c r="I22" s="88"/>
      <c r="J22" s="89"/>
      <c r="K22" s="83"/>
      <c r="L22" s="84"/>
      <c r="M22" s="85"/>
    </row>
    <row r="26" spans="1:13" x14ac:dyDescent="0.3">
      <c r="K26" s="82"/>
      <c r="L26" s="82"/>
    </row>
  </sheetData>
  <mergeCells count="41">
    <mergeCell ref="K26:L26"/>
    <mergeCell ref="K22:M22"/>
    <mergeCell ref="I20:J20"/>
    <mergeCell ref="I21:J22"/>
    <mergeCell ref="A1:C1"/>
    <mergeCell ref="D1:F1"/>
    <mergeCell ref="G1:K1"/>
    <mergeCell ref="L1:M1"/>
    <mergeCell ref="A2:C2"/>
    <mergeCell ref="D2:F2"/>
    <mergeCell ref="G2:K2"/>
    <mergeCell ref="L2:M2"/>
    <mergeCell ref="A3:C3"/>
    <mergeCell ref="D3:E3"/>
    <mergeCell ref="F3:K3"/>
    <mergeCell ref="L3:M3"/>
    <mergeCell ref="A4:D5"/>
    <mergeCell ref="F4:G4"/>
    <mergeCell ref="I4:J4"/>
    <mergeCell ref="K4:L4"/>
    <mergeCell ref="A16:D16"/>
    <mergeCell ref="A6:D6"/>
    <mergeCell ref="A8:D8"/>
    <mergeCell ref="A9:D9"/>
    <mergeCell ref="A10:D10"/>
    <mergeCell ref="A11:D11"/>
    <mergeCell ref="A12:D12"/>
    <mergeCell ref="A13:D13"/>
    <mergeCell ref="A14:D14"/>
    <mergeCell ref="A15:D15"/>
    <mergeCell ref="A7:D7"/>
    <mergeCell ref="M20:M21"/>
    <mergeCell ref="K21:L21"/>
    <mergeCell ref="A22:D22"/>
    <mergeCell ref="A17:D17"/>
    <mergeCell ref="A18:D18"/>
    <mergeCell ref="A19:D19"/>
    <mergeCell ref="K20:L20"/>
    <mergeCell ref="A20:D21"/>
    <mergeCell ref="E20:H21"/>
    <mergeCell ref="E22:H22"/>
  </mergeCells>
  <hyperlinks>
    <hyperlink ref="N7" r:id="rId1" xr:uid="{AAD437B4-B469-4C7B-874D-32482287D7A7}"/>
  </hyperlinks>
  <pageMargins left="0.7" right="0.7" top="0.78740157499999996" bottom="0.78740157499999996" header="0.3" footer="0.3"/>
  <pageSetup paperSize="9" scale="81" orientation="landscape"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9657613A57DCA240BF1435E28856B226" ma:contentTypeVersion="3" ma:contentTypeDescription="Ein neues Dokument erstellen." ma:contentTypeScope="" ma:versionID="5f3b321d472801a02a2afe67167e190e">
  <xsd:schema xmlns:xsd="http://www.w3.org/2001/XMLSchema" xmlns:xs="http://www.w3.org/2001/XMLSchema" xmlns:p="http://schemas.microsoft.com/office/2006/metadata/properties" xmlns:ns2="3e560c01-df3e-4afb-8106-115af209489b" targetNamespace="http://schemas.microsoft.com/office/2006/metadata/properties" ma:root="true" ma:fieldsID="42591c0612986ea9ea0f765279989779" ns2:_="">
    <xsd:import namespace="3e560c01-df3e-4afb-8106-115af209489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e560c01-df3e-4afb-8106-115af209489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D205DF0-D259-4516-A145-B93EFE9EDE4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5D3667C-8CCA-48C0-B4E3-78D1776152BD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C81AFE02-87A2-490F-81E5-2F974BD2D58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e560c01-df3e-4afb-8106-115af209489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Muster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Jakob</dc:creator>
  <cp:keywords/>
  <dc:description/>
  <cp:lastModifiedBy>Watzek Michael</cp:lastModifiedBy>
  <cp:revision/>
  <dcterms:created xsi:type="dcterms:W3CDTF">2011-02-04T16:54:40Z</dcterms:created>
  <dcterms:modified xsi:type="dcterms:W3CDTF">2026-06-24T12:27:54Z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0x0101009657613A57DCA240BF1435E28856B226</vt:lpwstr>
  </property>
</Properties>
</file>