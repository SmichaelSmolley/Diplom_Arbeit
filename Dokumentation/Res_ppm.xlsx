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"/>
    </mc:Choice>
  </mc:AlternateContent>
  <xr:revisionPtr revIDLastSave="0" documentId="13_ncr:1_{944FC531-5005-4141-A02A-BE0FDAEB732F}" xr6:coauthVersionLast="47" xr6:coauthVersionMax="47" xr10:uidLastSave="{00000000-0000-0000-0000-000000000000}"/>
  <bookViews>
    <workbookView xWindow="-108" yWindow="-108" windowWidth="23256" windowHeight="12456" xr2:uid="{532ECA38-9561-453A-B786-6FF45CED45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D11" i="1" s="1"/>
  <c r="C10" i="1"/>
  <c r="C9" i="1"/>
  <c r="C8" i="1"/>
  <c r="C7" i="1"/>
  <c r="C6" i="1"/>
  <c r="D6" i="1" s="1"/>
  <c r="C5" i="1"/>
  <c r="D5" i="1" s="1"/>
  <c r="C14" i="1"/>
  <c r="D14" i="1" s="1"/>
  <c r="C15" i="1"/>
  <c r="D15" i="1" s="1"/>
  <c r="E15" i="1" s="1"/>
  <c r="F15" i="1" s="1"/>
  <c r="G15" i="1" s="1"/>
  <c r="C16" i="1"/>
  <c r="D16" i="1" s="1"/>
  <c r="C17" i="1"/>
  <c r="D17" i="1" s="1"/>
  <c r="C18" i="1"/>
  <c r="D18" i="1" s="1"/>
  <c r="C19" i="1"/>
  <c r="D19" i="1" s="1"/>
  <c r="C20" i="1"/>
  <c r="D20" i="1" s="1"/>
  <c r="C57" i="1"/>
  <c r="D57" i="1" s="1"/>
  <c r="E57" i="1" s="1"/>
  <c r="F57" i="1" s="1"/>
  <c r="G57" i="1" s="1"/>
  <c r="C56" i="1"/>
  <c r="D56" i="1" s="1"/>
  <c r="E56" i="1" s="1"/>
  <c r="F56" i="1" s="1"/>
  <c r="G56" i="1" s="1"/>
  <c r="C55" i="1"/>
  <c r="D55" i="1" s="1"/>
  <c r="E55" i="1" s="1"/>
  <c r="F55" i="1" s="1"/>
  <c r="G55" i="1" s="1"/>
  <c r="C54" i="1"/>
  <c r="D54" i="1" s="1"/>
  <c r="E54" i="1" s="1"/>
  <c r="F54" i="1" s="1"/>
  <c r="G54" i="1" s="1"/>
  <c r="C53" i="1"/>
  <c r="C52" i="1"/>
  <c r="D52" i="1" s="1"/>
  <c r="E52" i="1" s="1"/>
  <c r="F52" i="1" s="1"/>
  <c r="G52" i="1" s="1"/>
  <c r="C51" i="1"/>
  <c r="D51" i="1" s="1"/>
  <c r="E51" i="1" s="1"/>
  <c r="F51" i="1" s="1"/>
  <c r="G51" i="1" s="1"/>
  <c r="C50" i="1"/>
  <c r="D50" i="1" s="1"/>
  <c r="E50" i="1" s="1"/>
  <c r="F50" i="1" s="1"/>
  <c r="G50" i="1" s="1"/>
  <c r="C48" i="1"/>
  <c r="D48" i="1" s="1"/>
  <c r="E48" i="1" s="1"/>
  <c r="F48" i="1" s="1"/>
  <c r="G48" i="1" s="1"/>
  <c r="C47" i="1"/>
  <c r="D47" i="1" s="1"/>
  <c r="E47" i="1" s="1"/>
  <c r="F47" i="1" s="1"/>
  <c r="G47" i="1" s="1"/>
  <c r="C46" i="1"/>
  <c r="D46" i="1" s="1"/>
  <c r="E46" i="1" s="1"/>
  <c r="F46" i="1" s="1"/>
  <c r="G46" i="1" s="1"/>
  <c r="C45" i="1"/>
  <c r="C44" i="1"/>
  <c r="D44" i="1" s="1"/>
  <c r="C43" i="1"/>
  <c r="D43" i="1" s="1"/>
  <c r="E43" i="1" s="1"/>
  <c r="F43" i="1" s="1"/>
  <c r="G43" i="1" s="1"/>
  <c r="C42" i="1"/>
  <c r="D42" i="1" s="1"/>
  <c r="E42" i="1" s="1"/>
  <c r="F42" i="1" s="1"/>
  <c r="G42" i="1" s="1"/>
  <c r="C41" i="1"/>
  <c r="D41" i="1" s="1"/>
  <c r="E41" i="1" s="1"/>
  <c r="F41" i="1" s="1"/>
  <c r="G41" i="1" s="1"/>
  <c r="C39" i="1"/>
  <c r="D39" i="1" s="1"/>
  <c r="E39" i="1" s="1"/>
  <c r="F39" i="1" s="1"/>
  <c r="G39" i="1" s="1"/>
  <c r="C38" i="1"/>
  <c r="D38" i="1" s="1"/>
  <c r="E38" i="1" s="1"/>
  <c r="F38" i="1" s="1"/>
  <c r="G38" i="1" s="1"/>
  <c r="C37" i="1"/>
  <c r="D37" i="1" s="1"/>
  <c r="E37" i="1" s="1"/>
  <c r="F37" i="1" s="1"/>
  <c r="G37" i="1" s="1"/>
  <c r="C36" i="1"/>
  <c r="D36" i="1" s="1"/>
  <c r="C35" i="1"/>
  <c r="D35" i="1" s="1"/>
  <c r="E35" i="1" s="1"/>
  <c r="F35" i="1" s="1"/>
  <c r="G35" i="1" s="1"/>
  <c r="C34" i="1"/>
  <c r="D34" i="1" s="1"/>
  <c r="E34" i="1" s="1"/>
  <c r="F34" i="1" s="1"/>
  <c r="G34" i="1" s="1"/>
  <c r="C33" i="1"/>
  <c r="D33" i="1" s="1"/>
  <c r="E33" i="1" s="1"/>
  <c r="F33" i="1" s="1"/>
  <c r="G33" i="1" s="1"/>
  <c r="C32" i="1"/>
  <c r="D32" i="1" s="1"/>
  <c r="E32" i="1" s="1"/>
  <c r="F32" i="1" s="1"/>
  <c r="G32" i="1" s="1"/>
  <c r="C30" i="1"/>
  <c r="D30" i="1" s="1"/>
  <c r="E30" i="1" s="1"/>
  <c r="F30" i="1" s="1"/>
  <c r="G30" i="1" s="1"/>
  <c r="C29" i="1"/>
  <c r="D29" i="1" s="1"/>
  <c r="C28" i="1"/>
  <c r="D28" i="1" s="1"/>
  <c r="E28" i="1" s="1"/>
  <c r="F28" i="1" s="1"/>
  <c r="G28" i="1" s="1"/>
  <c r="C27" i="1"/>
  <c r="D27" i="1" s="1"/>
  <c r="E27" i="1" s="1"/>
  <c r="F27" i="1" s="1"/>
  <c r="G27" i="1" s="1"/>
  <c r="C26" i="1"/>
  <c r="D26" i="1" s="1"/>
  <c r="E26" i="1" s="1"/>
  <c r="F26" i="1" s="1"/>
  <c r="G26" i="1" s="1"/>
  <c r="C25" i="1"/>
  <c r="D25" i="1" s="1"/>
  <c r="E25" i="1" s="1"/>
  <c r="F25" i="1" s="1"/>
  <c r="G25" i="1" s="1"/>
  <c r="C24" i="1"/>
  <c r="D24" i="1" s="1"/>
  <c r="E24" i="1" s="1"/>
  <c r="F24" i="1" s="1"/>
  <c r="G24" i="1" s="1"/>
  <c r="C23" i="1"/>
  <c r="D23" i="1" s="1"/>
  <c r="E23" i="1" s="1"/>
  <c r="F23" i="1" s="1"/>
  <c r="G23" i="1" s="1"/>
  <c r="H23" i="1" s="1"/>
  <c r="I23" i="1" s="1"/>
  <c r="J23" i="1" s="1"/>
  <c r="C21" i="1"/>
  <c r="D21" i="1" s="1"/>
  <c r="E21" i="1" s="1"/>
  <c r="F21" i="1" s="1"/>
  <c r="G21" i="1" s="1"/>
  <c r="E1" i="1"/>
  <c r="C2" i="1" s="1"/>
  <c r="E17" i="1" l="1"/>
  <c r="F17" i="1" s="1"/>
  <c r="G17" i="1" s="1"/>
  <c r="H17" i="1" s="1"/>
  <c r="I17" i="1" s="1"/>
  <c r="J17" i="1" s="1"/>
  <c r="H41" i="1"/>
  <c r="I41" i="1" s="1"/>
  <c r="J41" i="1" s="1"/>
  <c r="H15" i="1"/>
  <c r="I15" i="1" s="1"/>
  <c r="J15" i="1" s="1"/>
  <c r="H50" i="1"/>
  <c r="I50" i="1" s="1"/>
  <c r="J50" i="1" s="1"/>
  <c r="H33" i="1"/>
  <c r="I33" i="1" s="1"/>
  <c r="J33" i="1" s="1"/>
  <c r="E14" i="1"/>
  <c r="F14" i="1" s="1"/>
  <c r="G14" i="1" s="1"/>
  <c r="H14" i="1" s="1"/>
  <c r="I14" i="1" s="1"/>
  <c r="J14" i="1" s="1"/>
  <c r="E16" i="1"/>
  <c r="F16" i="1" s="1"/>
  <c r="G16" i="1" s="1"/>
  <c r="H16" i="1" s="1"/>
  <c r="I16" i="1" s="1"/>
  <c r="J16" i="1" s="1"/>
  <c r="E20" i="1"/>
  <c r="F20" i="1" s="1"/>
  <c r="G20" i="1" s="1"/>
  <c r="H20" i="1" s="1"/>
  <c r="I20" i="1" s="1"/>
  <c r="J20" i="1" s="1"/>
  <c r="E19" i="1"/>
  <c r="F19" i="1" s="1"/>
  <c r="G19" i="1" s="1"/>
  <c r="H19" i="1" s="1"/>
  <c r="I19" i="1" s="1"/>
  <c r="J19" i="1" s="1"/>
  <c r="E18" i="1"/>
  <c r="F18" i="1" s="1"/>
  <c r="G18" i="1" s="1"/>
  <c r="H18" i="1" s="1"/>
  <c r="I18" i="1" s="1"/>
  <c r="J18" i="1" s="1"/>
  <c r="D8" i="1"/>
  <c r="E8" i="1" s="1"/>
  <c r="F8" i="1" s="1"/>
  <c r="G8" i="1" s="1"/>
  <c r="H8" i="1" s="1"/>
  <c r="I8" i="1" s="1"/>
  <c r="J8" i="1" s="1"/>
  <c r="D10" i="1"/>
  <c r="E10" i="1" s="1"/>
  <c r="F10" i="1" s="1"/>
  <c r="G10" i="1" s="1"/>
  <c r="H10" i="1" s="1"/>
  <c r="I10" i="1" s="1"/>
  <c r="J10" i="1" s="1"/>
  <c r="E5" i="1"/>
  <c r="F5" i="1" s="1"/>
  <c r="G5" i="1" s="1"/>
  <c r="H5" i="1" s="1"/>
  <c r="I5" i="1" s="1"/>
  <c r="J5" i="1" s="1"/>
  <c r="E11" i="1"/>
  <c r="F11" i="1" s="1"/>
  <c r="G11" i="1" s="1"/>
  <c r="H11" i="1" s="1"/>
  <c r="I11" i="1" s="1"/>
  <c r="J11" i="1" s="1"/>
  <c r="D7" i="1"/>
  <c r="E7" i="1" s="1"/>
  <c r="F7" i="1" s="1"/>
  <c r="G7" i="1" s="1"/>
  <c r="H7" i="1" s="1"/>
  <c r="I7" i="1" s="1"/>
  <c r="J7" i="1" s="1"/>
  <c r="D9" i="1"/>
  <c r="E9" i="1" s="1"/>
  <c r="F9" i="1" s="1"/>
  <c r="G9" i="1" s="1"/>
  <c r="H9" i="1" s="1"/>
  <c r="I9" i="1" s="1"/>
  <c r="J9" i="1" s="1"/>
  <c r="E6" i="1"/>
  <c r="F6" i="1" s="1"/>
  <c r="G6" i="1" s="1"/>
  <c r="H6" i="1" s="1"/>
  <c r="I6" i="1" s="1"/>
  <c r="J6" i="1" s="1"/>
  <c r="D12" i="1"/>
  <c r="E12" i="1" s="1"/>
  <c r="F12" i="1" s="1"/>
  <c r="G12" i="1" s="1"/>
  <c r="H12" i="1" s="1"/>
  <c r="I12" i="1" s="1"/>
  <c r="J12" i="1" s="1"/>
  <c r="H42" i="1"/>
  <c r="I42" i="1" s="1"/>
  <c r="J42" i="1" s="1"/>
  <c r="H21" i="1"/>
  <c r="I21" i="1" s="1"/>
  <c r="J21" i="1" s="1"/>
  <c r="H51" i="1"/>
  <c r="I51" i="1" s="1"/>
  <c r="J51" i="1" s="1"/>
  <c r="H37" i="1"/>
  <c r="I37" i="1" s="1"/>
  <c r="J37" i="1" s="1"/>
  <c r="H26" i="1"/>
  <c r="I26" i="1" s="1"/>
  <c r="J26" i="1" s="1"/>
  <c r="H43" i="1"/>
  <c r="I43" i="1" s="1"/>
  <c r="J43" i="1" s="1"/>
  <c r="H39" i="1"/>
  <c r="I39" i="1" s="1"/>
  <c r="J39" i="1" s="1"/>
  <c r="H25" i="1"/>
  <c r="I25" i="1" s="1"/>
  <c r="J25" i="1" s="1"/>
  <c r="H30" i="1"/>
  <c r="I30" i="1" s="1"/>
  <c r="J30" i="1" s="1"/>
  <c r="H52" i="1"/>
  <c r="I52" i="1" s="1"/>
  <c r="J52" i="1" s="1"/>
  <c r="H27" i="1"/>
  <c r="I27" i="1" s="1"/>
  <c r="J27" i="1" s="1"/>
  <c r="H54" i="1"/>
  <c r="I54" i="1" s="1"/>
  <c r="J54" i="1" s="1"/>
  <c r="H46" i="1"/>
  <c r="I46" i="1" s="1"/>
  <c r="J46" i="1" s="1"/>
  <c r="H55" i="1"/>
  <c r="I55" i="1" s="1"/>
  <c r="J55" i="1" s="1"/>
  <c r="H32" i="1"/>
  <c r="I32" i="1" s="1"/>
  <c r="J32" i="1" s="1"/>
  <c r="H28" i="1"/>
  <c r="I28" i="1" s="1"/>
  <c r="J28" i="1" s="1"/>
  <c r="H47" i="1"/>
  <c r="I47" i="1" s="1"/>
  <c r="J47" i="1" s="1"/>
  <c r="H56" i="1"/>
  <c r="I56" i="1" s="1"/>
  <c r="J56" i="1" s="1"/>
  <c r="H24" i="1"/>
  <c r="I24" i="1" s="1"/>
  <c r="J24" i="1" s="1"/>
  <c r="H34" i="1"/>
  <c r="I34" i="1" s="1"/>
  <c r="J34" i="1" s="1"/>
  <c r="H35" i="1"/>
  <c r="I35" i="1" s="1"/>
  <c r="J35" i="1" s="1"/>
  <c r="H38" i="1"/>
  <c r="I38" i="1" s="1"/>
  <c r="J38" i="1" s="1"/>
  <c r="H48" i="1"/>
  <c r="I48" i="1" s="1"/>
  <c r="J48" i="1" s="1"/>
  <c r="H57" i="1"/>
  <c r="I57" i="1" s="1"/>
  <c r="J57" i="1" s="1"/>
  <c r="E36" i="1"/>
  <c r="F36" i="1" s="1"/>
  <c r="G36" i="1" s="1"/>
  <c r="H36" i="1" s="1"/>
  <c r="I36" i="1" s="1"/>
  <c r="J36" i="1" s="1"/>
  <c r="E44" i="1"/>
  <c r="F44" i="1" s="1"/>
  <c r="G44" i="1" s="1"/>
  <c r="H44" i="1" s="1"/>
  <c r="I44" i="1" s="1"/>
  <c r="J44" i="1" s="1"/>
  <c r="E29" i="1"/>
  <c r="F29" i="1" s="1"/>
  <c r="G29" i="1" s="1"/>
  <c r="H29" i="1" s="1"/>
  <c r="I29" i="1" s="1"/>
  <c r="J29" i="1" s="1"/>
  <c r="D45" i="1"/>
  <c r="E45" i="1" s="1"/>
  <c r="F45" i="1" s="1"/>
  <c r="G45" i="1" s="1"/>
  <c r="H45" i="1" s="1"/>
  <c r="I45" i="1" s="1"/>
  <c r="J45" i="1" s="1"/>
  <c r="D53" i="1"/>
  <c r="E53" i="1" s="1"/>
  <c r="F53" i="1" s="1"/>
  <c r="G53" i="1" s="1"/>
  <c r="H53" i="1" s="1"/>
  <c r="I53" i="1" s="1"/>
  <c r="J53" i="1" s="1"/>
</calcChain>
</file>

<file path=xl/sharedStrings.xml><?xml version="1.0" encoding="utf-8"?>
<sst xmlns="http://schemas.openxmlformats.org/spreadsheetml/2006/main" count="17" uniqueCount="17">
  <si>
    <t>A</t>
  </si>
  <si>
    <t>res</t>
  </si>
  <si>
    <t>bit adc</t>
  </si>
  <si>
    <t>adc ref</t>
  </si>
  <si>
    <t>U_tia</t>
  </si>
  <si>
    <t>U_dämp</t>
  </si>
  <si>
    <t>ADC wert</t>
  </si>
  <si>
    <t>1nA</t>
  </si>
  <si>
    <t>10nA</t>
  </si>
  <si>
    <t>100nA</t>
  </si>
  <si>
    <t>1uA</t>
  </si>
  <si>
    <t>adc bit num</t>
  </si>
  <si>
    <t>fehler in %</t>
  </si>
  <si>
    <t>10uA</t>
  </si>
  <si>
    <t>res in M ohm</t>
  </si>
  <si>
    <t>0,1nA</t>
  </si>
  <si>
    <t>ber.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</si>
</sst>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56"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lor auto="1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5BC4-8BBA-441F-8A18-24DC7643B3B5}">
  <dimension ref="A1:J57"/>
  <sheetViews>
    <sheetView tabSelected="1" topLeftCell="A13" zoomScale="93" workbookViewId="0">
      <selection activeCell="D25" sqref="D25"/>
    </sheetView>
  </sheetViews>
  <sheetFormatPr baseColWidth="10" defaultRowHeight="14.4" x14ac:dyDescent="0.3"/>
  <cols>
    <col min="2" max="3" width="12" bestFit="1" customWidth="1"/>
    <col min="9" max="10" width="12" bestFit="1" customWidth="1"/>
  </cols>
  <sheetData>
    <row r="1" spans="1:10" x14ac:dyDescent="0.3">
      <c r="B1" t="s">
        <v>2</v>
      </c>
      <c r="C1">
        <v>16</v>
      </c>
      <c r="D1" t="s">
        <v>11</v>
      </c>
      <c r="E1">
        <f>2^16</f>
        <v>65536</v>
      </c>
    </row>
    <row r="2" spans="1:10" x14ac:dyDescent="0.3">
      <c r="B2" t="s">
        <v>3</v>
      </c>
      <c r="C2">
        <f>(4.096*1.25)/E1</f>
        <v>7.8125000000000002E-5</v>
      </c>
      <c r="D2" t="s">
        <v>14</v>
      </c>
      <c r="E2">
        <v>10</v>
      </c>
    </row>
    <row r="4" spans="1:10" ht="15" thickBot="1" x14ac:dyDescent="0.35">
      <c r="B4" t="s">
        <v>0</v>
      </c>
      <c r="C4" t="s">
        <v>1</v>
      </c>
      <c r="F4" t="s">
        <v>4</v>
      </c>
      <c r="G4" t="s">
        <v>5</v>
      </c>
      <c r="H4" t="s">
        <v>6</v>
      </c>
      <c r="I4" t="s">
        <v>16</v>
      </c>
      <c r="J4" t="s">
        <v>12</v>
      </c>
    </row>
    <row r="5" spans="1:10" x14ac:dyDescent="0.3">
      <c r="A5" t="s">
        <v>15</v>
      </c>
      <c r="B5" s="2">
        <v>1E-10</v>
      </c>
      <c r="C5" s="3">
        <f>$E$2*1000000</f>
        <v>10000000</v>
      </c>
      <c r="D5" s="3">
        <f>C5*0.1</f>
        <v>1000000</v>
      </c>
      <c r="E5" s="3">
        <f>C5+D5</f>
        <v>11000000</v>
      </c>
      <c r="F5" s="3">
        <f t="shared" ref="F5:F6" si="0">E5*B5</f>
        <v>1.1000000000000001E-3</v>
      </c>
      <c r="G5" s="3">
        <f t="shared" ref="G5:G6" si="1">F5*(10000/33000)</f>
        <v>3.3333333333333338E-4</v>
      </c>
      <c r="H5" s="3">
        <f>ROUND((G5/$C$2), 0)</f>
        <v>4</v>
      </c>
      <c r="I5" s="3">
        <f>(((H5*$C$2)/(10000/33000))/C5)*1000000000</f>
        <v>0.10312500000000001</v>
      </c>
      <c r="J5" s="4">
        <f>(((I5/1000000000)*100)/B5)-100</f>
        <v>3.125</v>
      </c>
    </row>
    <row r="6" spans="1:10" ht="15" thickBot="1" x14ac:dyDescent="0.35">
      <c r="B6" s="5">
        <v>1E-10</v>
      </c>
      <c r="C6" s="6">
        <f>$E$2*1000000</f>
        <v>10000000</v>
      </c>
      <c r="D6" s="6">
        <f>C6*0.1</f>
        <v>1000000</v>
      </c>
      <c r="E6" s="6">
        <f t="shared" ref="E6" si="2">C6-D6</f>
        <v>9000000</v>
      </c>
      <c r="F6" s="6">
        <f t="shared" si="0"/>
        <v>9.0000000000000008E-4</v>
      </c>
      <c r="G6" s="6">
        <f t="shared" si="1"/>
        <v>2.7272727272727274E-4</v>
      </c>
      <c r="H6" s="6">
        <f t="shared" ref="H6:H12" si="3">ROUND((G6/$C$2), 0)</f>
        <v>3</v>
      </c>
      <c r="I6" s="6">
        <f t="shared" ref="I6:I12" si="4">(((H6*$C$2)/(10000/33000))/C6)*1000000000</f>
        <v>7.7343749999999989E-2</v>
      </c>
      <c r="J6" s="7">
        <f t="shared" ref="J6:J12" si="5">(((I6/1000000000)*100)/B6)-100</f>
        <v>-22.656250000000014</v>
      </c>
    </row>
    <row r="7" spans="1:10" x14ac:dyDescent="0.3">
      <c r="B7" s="2">
        <v>1E-10</v>
      </c>
      <c r="C7" s="3">
        <f t="shared" ref="C7:C12" si="6">$E$2*1000000</f>
        <v>10000000</v>
      </c>
      <c r="D7" s="3">
        <f>C7*0.01</f>
        <v>100000</v>
      </c>
      <c r="E7" s="3">
        <f>C7-D7</f>
        <v>9900000</v>
      </c>
      <c r="F7" s="3">
        <f>E7*B7</f>
        <v>9.8999999999999999E-4</v>
      </c>
      <c r="G7" s="3">
        <f>F7*(10000/33000)</f>
        <v>3.0000000000000003E-4</v>
      </c>
      <c r="H7" s="3">
        <f t="shared" si="3"/>
        <v>4</v>
      </c>
      <c r="I7" s="3">
        <f t="shared" si="4"/>
        <v>0.10312500000000001</v>
      </c>
      <c r="J7" s="4">
        <f t="shared" si="5"/>
        <v>3.125</v>
      </c>
    </row>
    <row r="8" spans="1:10" ht="15" thickBot="1" x14ac:dyDescent="0.35">
      <c r="B8" s="5">
        <v>1E-10</v>
      </c>
      <c r="C8" s="6">
        <f t="shared" si="6"/>
        <v>10000000</v>
      </c>
      <c r="D8" s="6">
        <f>C8*0.01</f>
        <v>100000</v>
      </c>
      <c r="E8" s="6">
        <f>C8+D8</f>
        <v>10100000</v>
      </c>
      <c r="F8" s="6">
        <f t="shared" ref="F8:F12" si="7">E8*B8</f>
        <v>1.01E-3</v>
      </c>
      <c r="G8" s="6">
        <f t="shared" ref="G8:G12" si="8">F8*(10000/33000)</f>
        <v>3.0606060606060609E-4</v>
      </c>
      <c r="H8" s="6">
        <f t="shared" si="3"/>
        <v>4</v>
      </c>
      <c r="I8" s="6">
        <f t="shared" si="4"/>
        <v>0.10312500000000001</v>
      </c>
      <c r="J8" s="7">
        <f t="shared" si="5"/>
        <v>3.125</v>
      </c>
    </row>
    <row r="9" spans="1:10" x14ac:dyDescent="0.3">
      <c r="B9" s="2">
        <v>1E-10</v>
      </c>
      <c r="C9" s="3">
        <f t="shared" si="6"/>
        <v>10000000</v>
      </c>
      <c r="D9" s="3">
        <f>C9*0.001</f>
        <v>10000</v>
      </c>
      <c r="E9" s="3">
        <f t="shared" ref="E9" si="9">C9-D9</f>
        <v>9990000</v>
      </c>
      <c r="F9" s="3">
        <f t="shared" si="7"/>
        <v>9.990000000000001E-4</v>
      </c>
      <c r="G9" s="3">
        <f t="shared" si="8"/>
        <v>3.0272727272727276E-4</v>
      </c>
      <c r="H9" s="3">
        <f t="shared" si="3"/>
        <v>4</v>
      </c>
      <c r="I9" s="3">
        <f t="shared" si="4"/>
        <v>0.10312500000000001</v>
      </c>
      <c r="J9" s="4">
        <f t="shared" si="5"/>
        <v>3.125</v>
      </c>
    </row>
    <row r="10" spans="1:10" ht="15" thickBot="1" x14ac:dyDescent="0.35">
      <c r="B10" s="5">
        <v>1E-10</v>
      </c>
      <c r="C10" s="6">
        <f t="shared" si="6"/>
        <v>10000000</v>
      </c>
      <c r="D10" s="6">
        <f>C10*0.001</f>
        <v>10000</v>
      </c>
      <c r="E10" s="6">
        <f>C10+D10</f>
        <v>10010000</v>
      </c>
      <c r="F10" s="6">
        <f t="shared" si="7"/>
        <v>1.0009999999999999E-3</v>
      </c>
      <c r="G10" s="6">
        <f t="shared" si="8"/>
        <v>3.033333333333333E-4</v>
      </c>
      <c r="H10" s="6">
        <f t="shared" si="3"/>
        <v>4</v>
      </c>
      <c r="I10" s="6">
        <f t="shared" si="4"/>
        <v>0.10312500000000001</v>
      </c>
      <c r="J10" s="7">
        <f t="shared" si="5"/>
        <v>3.125</v>
      </c>
    </row>
    <row r="11" spans="1:10" x14ac:dyDescent="0.3">
      <c r="B11" s="2">
        <v>1E-10</v>
      </c>
      <c r="C11" s="3">
        <f t="shared" si="6"/>
        <v>10000000</v>
      </c>
      <c r="D11" s="1">
        <f>C11*0.0001</f>
        <v>1000</v>
      </c>
      <c r="E11" s="1">
        <f>C11-D11</f>
        <v>9999000</v>
      </c>
      <c r="F11" s="1">
        <f t="shared" si="7"/>
        <v>9.9989999999999996E-4</v>
      </c>
      <c r="G11" s="1">
        <f t="shared" si="8"/>
        <v>3.0299999999999999E-4</v>
      </c>
      <c r="H11" s="1">
        <f t="shared" si="3"/>
        <v>4</v>
      </c>
      <c r="I11" s="1">
        <f t="shared" si="4"/>
        <v>0.10312500000000001</v>
      </c>
      <c r="J11" s="9">
        <f t="shared" si="5"/>
        <v>3.125</v>
      </c>
    </row>
    <row r="12" spans="1:10" ht="15" thickBot="1" x14ac:dyDescent="0.35">
      <c r="B12" s="5">
        <v>1E-10</v>
      </c>
      <c r="C12" s="6">
        <f t="shared" si="6"/>
        <v>10000000</v>
      </c>
      <c r="D12" s="6">
        <f t="shared" ref="D12" si="10">C12*0.0001</f>
        <v>1000</v>
      </c>
      <c r="E12" s="6">
        <f t="shared" ref="E12" si="11">C12+D12</f>
        <v>10001000</v>
      </c>
      <c r="F12" s="6">
        <f t="shared" si="7"/>
        <v>1.0001000000000001E-3</v>
      </c>
      <c r="G12" s="6">
        <f t="shared" si="8"/>
        <v>3.0306060606060607E-4</v>
      </c>
      <c r="H12" s="6">
        <f t="shared" si="3"/>
        <v>4</v>
      </c>
      <c r="I12" s="6">
        <f t="shared" si="4"/>
        <v>0.10312500000000001</v>
      </c>
      <c r="J12" s="7">
        <f t="shared" si="5"/>
        <v>3.125</v>
      </c>
    </row>
    <row r="13" spans="1:10" ht="15" thickBot="1" x14ac:dyDescent="0.35"/>
    <row r="14" spans="1:10" x14ac:dyDescent="0.3">
      <c r="A14" t="s">
        <v>7</v>
      </c>
      <c r="B14" s="2">
        <v>1.0000000000000001E-9</v>
      </c>
      <c r="C14" s="3">
        <f>$E$2*1000000</f>
        <v>10000000</v>
      </c>
      <c r="D14" s="3">
        <f>C14*0.1</f>
        <v>1000000</v>
      </c>
      <c r="E14" s="3">
        <f>C14+D14</f>
        <v>11000000</v>
      </c>
      <c r="F14" s="3">
        <f t="shared" ref="F14:F15" si="12">E14*B14</f>
        <v>1.1000000000000001E-2</v>
      </c>
      <c r="G14" s="3">
        <f t="shared" ref="G13:G15" si="13">F14*(10000/33000)</f>
        <v>3.3333333333333335E-3</v>
      </c>
      <c r="H14" s="3">
        <f>ROUND((G14/$C$2), 0)</f>
        <v>43</v>
      </c>
      <c r="I14" s="3">
        <f>(((H14*$C$2)/(10000/33000))/C14)*1000000000</f>
        <v>1.10859375</v>
      </c>
      <c r="J14" s="4">
        <f>(((I14/1000000000)*100)/B14)-100</f>
        <v>10.859374999999986</v>
      </c>
    </row>
    <row r="15" spans="1:10" ht="15" thickBot="1" x14ac:dyDescent="0.35">
      <c r="B15" s="5">
        <v>1.0000000000000001E-9</v>
      </c>
      <c r="C15" s="6">
        <f>$E$2*1000000</f>
        <v>10000000</v>
      </c>
      <c r="D15" s="6">
        <f>C15*0.1</f>
        <v>1000000</v>
      </c>
      <c r="E15" s="6">
        <f t="shared" ref="E15" si="14">C15-D15</f>
        <v>9000000</v>
      </c>
      <c r="F15" s="6">
        <f t="shared" si="12"/>
        <v>9.0000000000000011E-3</v>
      </c>
      <c r="G15" s="6">
        <f t="shared" si="13"/>
        <v>2.7272727272727275E-3</v>
      </c>
      <c r="H15" s="6">
        <f t="shared" ref="H15:H57" si="15">ROUND((G15/$C$2), 0)</f>
        <v>35</v>
      </c>
      <c r="I15" s="6">
        <f t="shared" ref="I15:I57" si="16">(((H15*$C$2)/(10000/33000))/C15)*1000000000</f>
        <v>0.90234375000000011</v>
      </c>
      <c r="J15" s="7">
        <f t="shared" ref="J15:J48" si="17">(((I15/1000000000)*100)/B15)-100</f>
        <v>-9.765625</v>
      </c>
    </row>
    <row r="16" spans="1:10" x14ac:dyDescent="0.3">
      <c r="B16" s="2">
        <v>1.0000000000000001E-9</v>
      </c>
      <c r="C16" s="3">
        <f t="shared" ref="C15:C21" si="18">$E$2*1000000</f>
        <v>10000000</v>
      </c>
      <c r="D16" s="3">
        <f>C16*0.01</f>
        <v>100000</v>
      </c>
      <c r="E16" s="3">
        <f>C16-D16</f>
        <v>9900000</v>
      </c>
      <c r="F16" s="3">
        <f>E16*B16</f>
        <v>9.9000000000000008E-3</v>
      </c>
      <c r="G16" s="3">
        <f>F16*(10000/33000)</f>
        <v>3.0000000000000005E-3</v>
      </c>
      <c r="H16" s="3">
        <f t="shared" si="15"/>
        <v>38</v>
      </c>
      <c r="I16" s="3">
        <f t="shared" si="16"/>
        <v>0.97968749999999993</v>
      </c>
      <c r="J16" s="4">
        <f t="shared" si="17"/>
        <v>-2.03125</v>
      </c>
    </row>
    <row r="17" spans="1:10" ht="15" thickBot="1" x14ac:dyDescent="0.35">
      <c r="B17" s="5">
        <v>1.0000000000000001E-9</v>
      </c>
      <c r="C17" s="6">
        <f t="shared" si="18"/>
        <v>10000000</v>
      </c>
      <c r="D17" s="6">
        <f>C17*0.01</f>
        <v>100000</v>
      </c>
      <c r="E17" s="6">
        <f>C17+D17</f>
        <v>10100000</v>
      </c>
      <c r="F17" s="6">
        <f t="shared" ref="F17:F21" si="19">E17*B17</f>
        <v>1.0100000000000001E-2</v>
      </c>
      <c r="G17" s="6">
        <f t="shared" ref="G16:G21" si="20">F17*(10000/33000)</f>
        <v>3.060606060606061E-3</v>
      </c>
      <c r="H17" s="6">
        <f t="shared" si="15"/>
        <v>39</v>
      </c>
      <c r="I17" s="6">
        <f t="shared" si="16"/>
        <v>1.0054687499999999</v>
      </c>
      <c r="J17" s="7">
        <f t="shared" si="17"/>
        <v>0.54687499999998579</v>
      </c>
    </row>
    <row r="18" spans="1:10" x14ac:dyDescent="0.3">
      <c r="B18" s="2">
        <v>1.0000000000000001E-9</v>
      </c>
      <c r="C18" s="3">
        <f t="shared" si="18"/>
        <v>10000000</v>
      </c>
      <c r="D18" s="3">
        <f>C18*0.001</f>
        <v>10000</v>
      </c>
      <c r="E18" s="3">
        <f t="shared" ref="E18" si="21">C18-D18</f>
        <v>9990000</v>
      </c>
      <c r="F18" s="3">
        <f t="shared" si="19"/>
        <v>9.9900000000000006E-3</v>
      </c>
      <c r="G18" s="3">
        <f t="shared" si="20"/>
        <v>3.0272727272727274E-3</v>
      </c>
      <c r="H18" s="3">
        <f t="shared" si="15"/>
        <v>39</v>
      </c>
      <c r="I18" s="3">
        <f t="shared" si="16"/>
        <v>1.0054687499999999</v>
      </c>
      <c r="J18" s="4">
        <f t="shared" si="17"/>
        <v>0.54687499999998579</v>
      </c>
    </row>
    <row r="19" spans="1:10" ht="15" thickBot="1" x14ac:dyDescent="0.35">
      <c r="B19" s="5">
        <v>1.0000000000000001E-9</v>
      </c>
      <c r="C19" s="6">
        <f t="shared" si="18"/>
        <v>10000000</v>
      </c>
      <c r="D19" s="6">
        <f>C19*0.001</f>
        <v>10000</v>
      </c>
      <c r="E19" s="6">
        <f>C19+D19</f>
        <v>10010000</v>
      </c>
      <c r="F19" s="6">
        <f t="shared" si="19"/>
        <v>1.001E-2</v>
      </c>
      <c r="G19" s="6">
        <f t="shared" si="20"/>
        <v>3.0333333333333332E-3</v>
      </c>
      <c r="H19" s="6">
        <f t="shared" si="15"/>
        <v>39</v>
      </c>
      <c r="I19" s="6">
        <f t="shared" si="16"/>
        <v>1.0054687499999999</v>
      </c>
      <c r="J19" s="7">
        <f t="shared" si="17"/>
        <v>0.54687499999998579</v>
      </c>
    </row>
    <row r="20" spans="1:10" x14ac:dyDescent="0.3">
      <c r="B20" s="8">
        <v>1.0000000000000001E-9</v>
      </c>
      <c r="C20" s="3">
        <f t="shared" si="18"/>
        <v>10000000</v>
      </c>
      <c r="D20" s="1">
        <f>C20*0.0001</f>
        <v>1000</v>
      </c>
      <c r="E20" s="1">
        <f>C20-D20</f>
        <v>9999000</v>
      </c>
      <c r="F20" s="1">
        <f t="shared" si="19"/>
        <v>9.9990000000000009E-3</v>
      </c>
      <c r="G20" s="1">
        <f t="shared" si="20"/>
        <v>3.0300000000000006E-3</v>
      </c>
      <c r="H20" s="1">
        <f t="shared" si="15"/>
        <v>39</v>
      </c>
      <c r="I20" s="1">
        <f t="shared" si="16"/>
        <v>1.0054687499999999</v>
      </c>
      <c r="J20" s="9">
        <f t="shared" si="17"/>
        <v>0.54687499999998579</v>
      </c>
    </row>
    <row r="21" spans="1:10" ht="15" thickBot="1" x14ac:dyDescent="0.35">
      <c r="B21" s="5">
        <v>1.0000000000000001E-9</v>
      </c>
      <c r="C21" s="6">
        <f t="shared" si="18"/>
        <v>10000000</v>
      </c>
      <c r="D21" s="6">
        <f t="shared" ref="D20:D23" si="22">C21*0.0001</f>
        <v>1000</v>
      </c>
      <c r="E21" s="6">
        <f t="shared" ref="E20:E21" si="23">C21+D21</f>
        <v>10001000</v>
      </c>
      <c r="F21" s="6">
        <f t="shared" si="19"/>
        <v>1.0001000000000001E-2</v>
      </c>
      <c r="G21" s="6">
        <f t="shared" si="20"/>
        <v>3.0306060606060609E-3</v>
      </c>
      <c r="H21" s="6">
        <f t="shared" si="15"/>
        <v>39</v>
      </c>
      <c r="I21" s="6">
        <f t="shared" si="16"/>
        <v>1.0054687499999999</v>
      </c>
      <c r="J21" s="7">
        <f t="shared" si="17"/>
        <v>0.54687499999998579</v>
      </c>
    </row>
    <row r="22" spans="1:10" ht="15" thickBot="1" x14ac:dyDescent="0.35"/>
    <row r="23" spans="1:10" x14ac:dyDescent="0.3">
      <c r="A23" t="s">
        <v>8</v>
      </c>
      <c r="B23" s="2">
        <v>1E-8</v>
      </c>
      <c r="C23" s="3">
        <f>$E$2*1000000</f>
        <v>10000000</v>
      </c>
      <c r="D23" s="3">
        <f>C23*0.1</f>
        <v>1000000</v>
      </c>
      <c r="E23" s="3">
        <f>C23+D23</f>
        <v>11000000</v>
      </c>
      <c r="F23" s="3">
        <f t="shared" ref="F23:F24" si="24">E23*B23</f>
        <v>0.11</v>
      </c>
      <c r="G23" s="3">
        <f t="shared" ref="G23:G24" si="25">F23*(10000/33000)</f>
        <v>3.3333333333333333E-2</v>
      </c>
      <c r="H23" s="3">
        <f>ROUND((G23/$C$2), 0)</f>
        <v>427</v>
      </c>
      <c r="I23" s="3">
        <f>(((H23*$C$2)/(10000/33000))/C23)*1000000000</f>
        <v>11.008593750000001</v>
      </c>
      <c r="J23" s="4">
        <f t="shared" si="17"/>
        <v>10.085937500000028</v>
      </c>
    </row>
    <row r="24" spans="1:10" ht="15" thickBot="1" x14ac:dyDescent="0.35">
      <c r="B24" s="8">
        <v>1E-8</v>
      </c>
      <c r="C24" s="6">
        <f>$E$2*1000000</f>
        <v>10000000</v>
      </c>
      <c r="D24" s="1">
        <f>C24*0.1</f>
        <v>1000000</v>
      </c>
      <c r="E24" s="1">
        <f t="shared" ref="E24" si="26">C24-D24</f>
        <v>9000000</v>
      </c>
      <c r="F24" s="1">
        <f t="shared" si="24"/>
        <v>0.09</v>
      </c>
      <c r="G24" s="1">
        <f t="shared" si="25"/>
        <v>2.7272727272727271E-2</v>
      </c>
      <c r="H24" s="6">
        <f t="shared" si="15"/>
        <v>349</v>
      </c>
      <c r="I24" s="1">
        <f t="shared" ref="I24:I30" si="27">(((H24*$C$2)/(10000/33000))/C24)*1000000000</f>
        <v>8.9976562500000004</v>
      </c>
      <c r="J24" s="9">
        <f t="shared" si="17"/>
        <v>-10.0234375</v>
      </c>
    </row>
    <row r="25" spans="1:10" x14ac:dyDescent="0.3">
      <c r="B25" s="2">
        <v>1E-8</v>
      </c>
      <c r="C25" s="3">
        <f t="shared" ref="C25:C30" si="28">$E$2*1000000</f>
        <v>10000000</v>
      </c>
      <c r="D25" s="3">
        <f>C25*0.01</f>
        <v>100000</v>
      </c>
      <c r="E25" s="3">
        <f>C25-D25</f>
        <v>9900000</v>
      </c>
      <c r="F25" s="3">
        <f>E25*B25</f>
        <v>9.9000000000000005E-2</v>
      </c>
      <c r="G25" s="3">
        <f>F25*(10000/33000)</f>
        <v>3.0000000000000002E-2</v>
      </c>
      <c r="H25" s="3">
        <f t="shared" si="15"/>
        <v>384</v>
      </c>
      <c r="I25" s="3">
        <f t="shared" si="27"/>
        <v>9.8999999999999986</v>
      </c>
      <c r="J25" s="4">
        <f t="shared" si="17"/>
        <v>-1.0000000000000142</v>
      </c>
    </row>
    <row r="26" spans="1:10" ht="15" thickBot="1" x14ac:dyDescent="0.35">
      <c r="B26" s="5">
        <v>1E-8</v>
      </c>
      <c r="C26" s="6">
        <f t="shared" si="28"/>
        <v>10000000</v>
      </c>
      <c r="D26" s="6">
        <f>C26*0.01</f>
        <v>100000</v>
      </c>
      <c r="E26" s="6">
        <f>C26+D26</f>
        <v>10100000</v>
      </c>
      <c r="F26" s="6">
        <f t="shared" ref="F26:F30" si="29">E26*B26</f>
        <v>0.10100000000000001</v>
      </c>
      <c r="G26" s="6">
        <f t="shared" ref="G26:G30" si="30">F26*(10000/33000)</f>
        <v>3.0606060606060609E-2</v>
      </c>
      <c r="H26" s="6">
        <f t="shared" si="15"/>
        <v>392</v>
      </c>
      <c r="I26" s="6">
        <f t="shared" si="27"/>
        <v>10.106249999999999</v>
      </c>
      <c r="J26" s="7">
        <f t="shared" si="17"/>
        <v>1.0625</v>
      </c>
    </row>
    <row r="27" spans="1:10" x14ac:dyDescent="0.3">
      <c r="B27" s="2">
        <v>1E-8</v>
      </c>
      <c r="C27" s="3">
        <f t="shared" si="28"/>
        <v>10000000</v>
      </c>
      <c r="D27" s="3">
        <f>C27*0.001</f>
        <v>10000</v>
      </c>
      <c r="E27" s="3">
        <f t="shared" ref="E27" si="31">C27-D27</f>
        <v>9990000</v>
      </c>
      <c r="F27" s="3">
        <f t="shared" si="29"/>
        <v>9.9900000000000003E-2</v>
      </c>
      <c r="G27" s="3">
        <f t="shared" si="30"/>
        <v>3.0272727272727274E-2</v>
      </c>
      <c r="H27" s="3">
        <f t="shared" si="15"/>
        <v>387</v>
      </c>
      <c r="I27" s="3">
        <f t="shared" si="27"/>
        <v>9.9773437499999993</v>
      </c>
      <c r="J27" s="4">
        <f t="shared" si="17"/>
        <v>-0.22656250000001421</v>
      </c>
    </row>
    <row r="28" spans="1:10" ht="15" thickBot="1" x14ac:dyDescent="0.35">
      <c r="B28" s="5">
        <v>1E-8</v>
      </c>
      <c r="C28" s="6">
        <f t="shared" si="28"/>
        <v>10000000</v>
      </c>
      <c r="D28" s="6">
        <f>C28*0.001</f>
        <v>10000</v>
      </c>
      <c r="E28" s="6">
        <f>C28+D28</f>
        <v>10010000</v>
      </c>
      <c r="F28" s="6">
        <f t="shared" si="29"/>
        <v>0.10010000000000001</v>
      </c>
      <c r="G28" s="6">
        <f t="shared" si="30"/>
        <v>3.0333333333333337E-2</v>
      </c>
      <c r="H28" s="6">
        <f t="shared" si="15"/>
        <v>388</v>
      </c>
      <c r="I28" s="6">
        <f t="shared" si="27"/>
        <v>10.003124999999999</v>
      </c>
      <c r="J28" s="7">
        <f t="shared" si="17"/>
        <v>3.1249999999971578E-2</v>
      </c>
    </row>
    <row r="29" spans="1:10" x14ac:dyDescent="0.3">
      <c r="B29" s="8">
        <v>1E-8</v>
      </c>
      <c r="C29" s="3">
        <f t="shared" si="28"/>
        <v>10000000</v>
      </c>
      <c r="D29" s="1">
        <f>C29*0.0001</f>
        <v>1000</v>
      </c>
      <c r="E29" s="1">
        <f>C29-D29</f>
        <v>9999000</v>
      </c>
      <c r="F29" s="1">
        <f t="shared" si="29"/>
        <v>9.9989999999999996E-2</v>
      </c>
      <c r="G29" s="1">
        <f t="shared" si="30"/>
        <v>3.0300000000000001E-2</v>
      </c>
      <c r="H29" s="1">
        <f t="shared" si="15"/>
        <v>388</v>
      </c>
      <c r="I29" s="1">
        <f t="shared" si="27"/>
        <v>10.003124999999999</v>
      </c>
      <c r="J29" s="9">
        <f t="shared" si="17"/>
        <v>3.1249999999971578E-2</v>
      </c>
    </row>
    <row r="30" spans="1:10" ht="15" thickBot="1" x14ac:dyDescent="0.35">
      <c r="B30" s="5">
        <v>1E-8</v>
      </c>
      <c r="C30" s="6">
        <f t="shared" si="28"/>
        <v>10000000</v>
      </c>
      <c r="D30" s="6">
        <f t="shared" ref="D30" si="32">C30*0.0001</f>
        <v>1000</v>
      </c>
      <c r="E30" s="6">
        <f t="shared" ref="E30" si="33">C30+D30</f>
        <v>10001000</v>
      </c>
      <c r="F30" s="6">
        <f t="shared" si="29"/>
        <v>0.10001</v>
      </c>
      <c r="G30" s="6">
        <f t="shared" si="30"/>
        <v>3.0306060606060607E-2</v>
      </c>
      <c r="H30" s="6">
        <f t="shared" si="15"/>
        <v>388</v>
      </c>
      <c r="I30" s="6">
        <f t="shared" si="27"/>
        <v>10.003124999999999</v>
      </c>
      <c r="J30" s="7">
        <f t="shared" si="17"/>
        <v>3.1249999999971578E-2</v>
      </c>
    </row>
    <row r="31" spans="1:10" ht="15" thickBot="1" x14ac:dyDescent="0.35"/>
    <row r="32" spans="1:10" x14ac:dyDescent="0.3">
      <c r="A32" t="s">
        <v>9</v>
      </c>
      <c r="B32" s="2">
        <v>9.9999999999999995E-8</v>
      </c>
      <c r="C32" s="3">
        <f>$E$2*1000000</f>
        <v>10000000</v>
      </c>
      <c r="D32" s="3">
        <f>C32*0.1</f>
        <v>1000000</v>
      </c>
      <c r="E32" s="3">
        <f>C32+D32</f>
        <v>11000000</v>
      </c>
      <c r="F32" s="3">
        <f t="shared" ref="F32:F33" si="34">E32*B32</f>
        <v>1.0999999999999999</v>
      </c>
      <c r="G32" s="3">
        <f t="shared" ref="G32:G33" si="35">F32*(10000/33000)</f>
        <v>0.33333333333333331</v>
      </c>
      <c r="H32" s="3">
        <f>ROUND((G32/$C$2), 0)</f>
        <v>4267</v>
      </c>
      <c r="I32" s="3">
        <f t="shared" si="16"/>
        <v>110.00859375000002</v>
      </c>
      <c r="J32" s="4">
        <f t="shared" si="17"/>
        <v>10.008593750000017</v>
      </c>
    </row>
    <row r="33" spans="1:10" ht="15" thickBot="1" x14ac:dyDescent="0.35">
      <c r="B33" s="8">
        <v>9.9999999999999995E-8</v>
      </c>
      <c r="C33" s="6">
        <f>$E$2*1000000</f>
        <v>10000000</v>
      </c>
      <c r="D33" s="1">
        <f>C33*0.1</f>
        <v>1000000</v>
      </c>
      <c r="E33" s="1">
        <f t="shared" ref="E33" si="36">C33-D33</f>
        <v>9000000</v>
      </c>
      <c r="F33" s="1">
        <f t="shared" si="34"/>
        <v>0.89999999999999991</v>
      </c>
      <c r="G33" s="1">
        <f t="shared" si="35"/>
        <v>0.27272727272727271</v>
      </c>
      <c r="H33" s="6">
        <f t="shared" si="15"/>
        <v>3491</v>
      </c>
      <c r="I33" s="1">
        <f t="shared" si="16"/>
        <v>90.002343750000009</v>
      </c>
      <c r="J33" s="9">
        <f t="shared" si="17"/>
        <v>-9.9976562499999915</v>
      </c>
    </row>
    <row r="34" spans="1:10" x14ac:dyDescent="0.3">
      <c r="B34" s="2">
        <v>9.9999999999999995E-8</v>
      </c>
      <c r="C34" s="3">
        <f t="shared" ref="C34:C39" si="37">$E$2*1000000</f>
        <v>10000000</v>
      </c>
      <c r="D34" s="3">
        <f>C34*0.01</f>
        <v>100000</v>
      </c>
      <c r="E34" s="3">
        <f>C34-D34</f>
        <v>9900000</v>
      </c>
      <c r="F34" s="3">
        <f>E34*B34</f>
        <v>0.99</v>
      </c>
      <c r="G34" s="3">
        <f>F34*(10000/33000)</f>
        <v>0.3</v>
      </c>
      <c r="H34" s="3">
        <f t="shared" si="15"/>
        <v>3840</v>
      </c>
      <c r="I34" s="3">
        <f t="shared" si="16"/>
        <v>99</v>
      </c>
      <c r="J34" s="4">
        <f t="shared" si="17"/>
        <v>-1</v>
      </c>
    </row>
    <row r="35" spans="1:10" ht="15" thickBot="1" x14ac:dyDescent="0.35">
      <c r="B35" s="5">
        <v>9.9999999999999995E-8</v>
      </c>
      <c r="C35" s="6">
        <f t="shared" si="37"/>
        <v>10000000</v>
      </c>
      <c r="D35" s="6">
        <f>C35*0.01</f>
        <v>100000</v>
      </c>
      <c r="E35" s="6">
        <f>C35+D35</f>
        <v>10100000</v>
      </c>
      <c r="F35" s="6">
        <f t="shared" ref="F35:F39" si="38">E35*B35</f>
        <v>1.01</v>
      </c>
      <c r="G35" s="6">
        <f t="shared" ref="G35:G39" si="39">F35*(10000/33000)</f>
        <v>0.30606060606060609</v>
      </c>
      <c r="H35" s="6">
        <f t="shared" si="15"/>
        <v>3918</v>
      </c>
      <c r="I35" s="6">
        <f t="shared" si="16"/>
        <v>101.01093749999998</v>
      </c>
      <c r="J35" s="7">
        <f t="shared" si="17"/>
        <v>1.0109374999999829</v>
      </c>
    </row>
    <row r="36" spans="1:10" x14ac:dyDescent="0.3">
      <c r="B36" s="2">
        <v>9.9999999999999995E-8</v>
      </c>
      <c r="C36" s="3">
        <f t="shared" si="37"/>
        <v>10000000</v>
      </c>
      <c r="D36" s="3">
        <f>C36*0.001</f>
        <v>10000</v>
      </c>
      <c r="E36" s="3">
        <f t="shared" ref="E36" si="40">C36-D36</f>
        <v>9990000</v>
      </c>
      <c r="F36" s="3">
        <f t="shared" si="38"/>
        <v>0.999</v>
      </c>
      <c r="G36" s="3">
        <f t="shared" si="39"/>
        <v>0.30272727272727273</v>
      </c>
      <c r="H36" s="3">
        <f t="shared" si="15"/>
        <v>3875</v>
      </c>
      <c r="I36" s="3">
        <f t="shared" si="16"/>
        <v>99.90234375</v>
      </c>
      <c r="J36" s="4">
        <f t="shared" si="17"/>
        <v>-9.7656249999985789E-2</v>
      </c>
    </row>
    <row r="37" spans="1:10" ht="15" thickBot="1" x14ac:dyDescent="0.35">
      <c r="B37" s="5">
        <v>9.9999999999999995E-8</v>
      </c>
      <c r="C37" s="6">
        <f t="shared" si="37"/>
        <v>10000000</v>
      </c>
      <c r="D37" s="6">
        <f>C37*0.001</f>
        <v>10000</v>
      </c>
      <c r="E37" s="6">
        <f>C37+D37</f>
        <v>10010000</v>
      </c>
      <c r="F37" s="6">
        <f t="shared" si="38"/>
        <v>1.0009999999999999</v>
      </c>
      <c r="G37" s="6">
        <f t="shared" si="39"/>
        <v>0.30333333333333329</v>
      </c>
      <c r="H37" s="6">
        <f t="shared" si="15"/>
        <v>3883</v>
      </c>
      <c r="I37" s="6">
        <f t="shared" si="16"/>
        <v>100.10859374999998</v>
      </c>
      <c r="J37" s="7">
        <f t="shared" si="17"/>
        <v>0.10859374999999716</v>
      </c>
    </row>
    <row r="38" spans="1:10" x14ac:dyDescent="0.3">
      <c r="B38" s="8">
        <v>9.9999999999999995E-8</v>
      </c>
      <c r="C38" s="3">
        <f t="shared" si="37"/>
        <v>10000000</v>
      </c>
      <c r="D38" s="1">
        <f>C38*0.0001</f>
        <v>1000</v>
      </c>
      <c r="E38" s="1">
        <f>C38-D38</f>
        <v>9999000</v>
      </c>
      <c r="F38" s="1">
        <f t="shared" si="38"/>
        <v>0.9998999999999999</v>
      </c>
      <c r="G38" s="1">
        <f t="shared" si="39"/>
        <v>0.30299999999999999</v>
      </c>
      <c r="H38" s="1">
        <f t="shared" si="15"/>
        <v>3878</v>
      </c>
      <c r="I38" s="1">
        <f t="shared" si="16"/>
        <v>99.979687499999997</v>
      </c>
      <c r="J38" s="9">
        <f t="shared" si="17"/>
        <v>-2.0312500000002842E-2</v>
      </c>
    </row>
    <row r="39" spans="1:10" ht="15" thickBot="1" x14ac:dyDescent="0.35">
      <c r="B39" s="5">
        <v>9.9999999999999995E-8</v>
      </c>
      <c r="C39" s="6">
        <f t="shared" si="37"/>
        <v>10000000</v>
      </c>
      <c r="D39" s="6">
        <f t="shared" ref="D39" si="41">C39*0.0001</f>
        <v>1000</v>
      </c>
      <c r="E39" s="6">
        <f t="shared" ref="E39" si="42">C39+D39</f>
        <v>10001000</v>
      </c>
      <c r="F39" s="6">
        <f t="shared" si="38"/>
        <v>1.0001</v>
      </c>
      <c r="G39" s="6">
        <f t="shared" si="39"/>
        <v>0.30306060606060609</v>
      </c>
      <c r="H39" s="6">
        <f t="shared" si="15"/>
        <v>3879</v>
      </c>
      <c r="I39" s="6">
        <f t="shared" si="16"/>
        <v>100.00546875000001</v>
      </c>
      <c r="J39" s="7">
        <f t="shared" si="17"/>
        <v>5.4687500000198952E-3</v>
      </c>
    </row>
    <row r="40" spans="1:10" ht="15" thickBot="1" x14ac:dyDescent="0.35"/>
    <row r="41" spans="1:10" x14ac:dyDescent="0.3">
      <c r="A41" t="s">
        <v>10</v>
      </c>
      <c r="B41" s="2">
        <v>9.9999999999999995E-7</v>
      </c>
      <c r="C41" s="3">
        <f>$E$2*1000000</f>
        <v>10000000</v>
      </c>
      <c r="D41" s="3">
        <f>C41*0.1</f>
        <v>1000000</v>
      </c>
      <c r="E41" s="3">
        <f>C41+D41</f>
        <v>11000000</v>
      </c>
      <c r="F41" s="3">
        <f t="shared" ref="F41:F42" si="43">E41*B41</f>
        <v>11</v>
      </c>
      <c r="G41" s="3">
        <f t="shared" ref="G41:G42" si="44">F41*(10000/33000)</f>
        <v>3.3333333333333335</v>
      </c>
      <c r="H41" s="3">
        <f>ROUND((G41/$C$2), 0)</f>
        <v>42667</v>
      </c>
      <c r="I41" s="3">
        <f t="shared" si="16"/>
        <v>1100.00859375</v>
      </c>
      <c r="J41" s="4">
        <f t="shared" si="17"/>
        <v>10.000859375000005</v>
      </c>
    </row>
    <row r="42" spans="1:10" ht="15" thickBot="1" x14ac:dyDescent="0.35">
      <c r="B42" s="8">
        <v>9.9999999999999995E-7</v>
      </c>
      <c r="C42" s="6">
        <f>$E$2*1000000</f>
        <v>10000000</v>
      </c>
      <c r="D42" s="1">
        <f>C42*0.1</f>
        <v>1000000</v>
      </c>
      <c r="E42" s="1">
        <f t="shared" ref="E42" si="45">C42-D42</f>
        <v>9000000</v>
      </c>
      <c r="F42" s="1">
        <f t="shared" si="43"/>
        <v>9</v>
      </c>
      <c r="G42" s="1">
        <f t="shared" si="44"/>
        <v>2.7272727272727275</v>
      </c>
      <c r="H42" s="6">
        <f t="shared" si="15"/>
        <v>34909</v>
      </c>
      <c r="I42" s="1">
        <f t="shared" si="16"/>
        <v>899.99765624999998</v>
      </c>
      <c r="J42" s="9">
        <f t="shared" si="17"/>
        <v>-10.000234374999991</v>
      </c>
    </row>
    <row r="43" spans="1:10" x14ac:dyDescent="0.3">
      <c r="B43" s="2">
        <v>9.9999999999999995E-7</v>
      </c>
      <c r="C43" s="3">
        <f t="shared" ref="C43:C48" si="46">$E$2*1000000</f>
        <v>10000000</v>
      </c>
      <c r="D43" s="3">
        <f>C43*0.01</f>
        <v>100000</v>
      </c>
      <c r="E43" s="3">
        <f>C43-D43</f>
        <v>9900000</v>
      </c>
      <c r="F43" s="3">
        <f>E43*B43</f>
        <v>9.9</v>
      </c>
      <c r="G43" s="3">
        <f>F43*(10000/33000)</f>
        <v>3</v>
      </c>
      <c r="H43" s="3">
        <f t="shared" si="15"/>
        <v>38400</v>
      </c>
      <c r="I43" s="3">
        <f t="shared" si="16"/>
        <v>990</v>
      </c>
      <c r="J43" s="4">
        <f t="shared" si="17"/>
        <v>-0.99999999999998579</v>
      </c>
    </row>
    <row r="44" spans="1:10" ht="15" thickBot="1" x14ac:dyDescent="0.35">
      <c r="B44" s="5">
        <v>9.9999999999999995E-7</v>
      </c>
      <c r="C44" s="6">
        <f t="shared" si="46"/>
        <v>10000000</v>
      </c>
      <c r="D44" s="6">
        <f>C44*0.01</f>
        <v>100000</v>
      </c>
      <c r="E44" s="6">
        <f>C44+D44</f>
        <v>10100000</v>
      </c>
      <c r="F44" s="6">
        <f t="shared" ref="F44:F48" si="47">E44*B44</f>
        <v>10.1</v>
      </c>
      <c r="G44" s="6">
        <f t="shared" ref="G44:G48" si="48">F44*(10000/33000)</f>
        <v>3.0606060606060606</v>
      </c>
      <c r="H44" s="6">
        <f t="shared" si="15"/>
        <v>39176</v>
      </c>
      <c r="I44" s="6">
        <f t="shared" si="16"/>
        <v>1010.0062500000001</v>
      </c>
      <c r="J44" s="7">
        <f t="shared" si="17"/>
        <v>1.0006250000000136</v>
      </c>
    </row>
    <row r="45" spans="1:10" x14ac:dyDescent="0.3">
      <c r="B45" s="2">
        <v>9.9999999999999995E-7</v>
      </c>
      <c r="C45" s="3">
        <f t="shared" si="46"/>
        <v>10000000</v>
      </c>
      <c r="D45" s="3">
        <f>C45*0.001</f>
        <v>10000</v>
      </c>
      <c r="E45" s="3">
        <f t="shared" ref="E45" si="49">C45-D45</f>
        <v>9990000</v>
      </c>
      <c r="F45" s="3">
        <f t="shared" si="47"/>
        <v>9.99</v>
      </c>
      <c r="G45" s="3">
        <f t="shared" si="48"/>
        <v>3.0272727272727273</v>
      </c>
      <c r="H45" s="3">
        <f t="shared" si="15"/>
        <v>38749</v>
      </c>
      <c r="I45" s="3">
        <f t="shared" si="16"/>
        <v>998.99765625000009</v>
      </c>
      <c r="J45" s="4">
        <f t="shared" si="17"/>
        <v>-0.10023437499998522</v>
      </c>
    </row>
    <row r="46" spans="1:10" ht="15" thickBot="1" x14ac:dyDescent="0.35">
      <c r="B46" s="5">
        <v>9.9999999999999995E-7</v>
      </c>
      <c r="C46" s="6">
        <f t="shared" si="46"/>
        <v>10000000</v>
      </c>
      <c r="D46" s="6">
        <f>C46*0.001</f>
        <v>10000</v>
      </c>
      <c r="E46" s="6">
        <f>C46+D46</f>
        <v>10010000</v>
      </c>
      <c r="F46" s="6">
        <f t="shared" si="47"/>
        <v>10.01</v>
      </c>
      <c r="G46" s="6">
        <f t="shared" si="48"/>
        <v>3.0333333333333332</v>
      </c>
      <c r="H46" s="6">
        <f t="shared" si="15"/>
        <v>38827</v>
      </c>
      <c r="I46" s="6">
        <f t="shared" si="16"/>
        <v>1001.00859375</v>
      </c>
      <c r="J46" s="7">
        <f t="shared" si="17"/>
        <v>0.10085937500001307</v>
      </c>
    </row>
    <row r="47" spans="1:10" x14ac:dyDescent="0.3">
      <c r="B47" s="8">
        <v>9.9999999999999995E-7</v>
      </c>
      <c r="C47" s="3">
        <f t="shared" si="46"/>
        <v>10000000</v>
      </c>
      <c r="D47" s="1">
        <f>C47*0.0001</f>
        <v>1000</v>
      </c>
      <c r="E47" s="1">
        <f>C47-D47</f>
        <v>9999000</v>
      </c>
      <c r="F47" s="1">
        <f t="shared" si="47"/>
        <v>9.9989999999999988</v>
      </c>
      <c r="G47" s="1">
        <f t="shared" si="48"/>
        <v>3.03</v>
      </c>
      <c r="H47" s="1">
        <f t="shared" si="15"/>
        <v>38784</v>
      </c>
      <c r="I47" s="1">
        <f t="shared" si="16"/>
        <v>999.9000000000002</v>
      </c>
      <c r="J47" s="9">
        <f t="shared" si="17"/>
        <v>-9.9999999999909051E-3</v>
      </c>
    </row>
    <row r="48" spans="1:10" ht="15" thickBot="1" x14ac:dyDescent="0.35">
      <c r="B48" s="5">
        <v>9.9999999999999995E-7</v>
      </c>
      <c r="C48" s="6">
        <f t="shared" si="46"/>
        <v>10000000</v>
      </c>
      <c r="D48" s="6">
        <f t="shared" ref="D48" si="50">C48*0.0001</f>
        <v>1000</v>
      </c>
      <c r="E48" s="6">
        <f t="shared" ref="E48" si="51">C48+D48</f>
        <v>10001000</v>
      </c>
      <c r="F48" s="6">
        <f t="shared" si="47"/>
        <v>10.000999999999999</v>
      </c>
      <c r="G48" s="6">
        <f t="shared" si="48"/>
        <v>3.0306060606060603</v>
      </c>
      <c r="H48" s="6">
        <f t="shared" si="15"/>
        <v>38792</v>
      </c>
      <c r="I48" s="6">
        <f t="shared" si="16"/>
        <v>1000.1062499999999</v>
      </c>
      <c r="J48" s="7">
        <f t="shared" si="17"/>
        <v>1.0625000000004547E-2</v>
      </c>
    </row>
    <row r="49" spans="1:10" ht="15" thickBot="1" x14ac:dyDescent="0.35"/>
    <row r="50" spans="1:10" x14ac:dyDescent="0.3">
      <c r="A50" t="s">
        <v>13</v>
      </c>
      <c r="B50" s="2">
        <v>1.0000000000000001E-5</v>
      </c>
      <c r="C50" s="3">
        <f>$E$2*1000000</f>
        <v>10000000</v>
      </c>
      <c r="D50" s="3">
        <f>C50*0.1</f>
        <v>1000000</v>
      </c>
      <c r="E50" s="3">
        <f>C50+D50</f>
        <v>11000000</v>
      </c>
      <c r="F50" s="3">
        <f t="shared" ref="F50:F51" si="52">E50*B50</f>
        <v>110.00000000000001</v>
      </c>
      <c r="G50" s="3">
        <f t="shared" ref="G50:G51" si="53">F50*(10000/33000)</f>
        <v>33.333333333333336</v>
      </c>
      <c r="H50" s="3">
        <f>ROUND((G50/$C$2), 0)</f>
        <v>426667</v>
      </c>
      <c r="I50" s="3">
        <f t="shared" si="16"/>
        <v>11000.008593750001</v>
      </c>
      <c r="J50" s="4">
        <f>(((I50/1000000000)*100)/B50)-100</f>
        <v>10.000085937499989</v>
      </c>
    </row>
    <row r="51" spans="1:10" ht="15" thickBot="1" x14ac:dyDescent="0.35">
      <c r="B51" s="5">
        <v>1.0000000000000001E-5</v>
      </c>
      <c r="C51" s="6">
        <f>$E$2*1000000</f>
        <v>10000000</v>
      </c>
      <c r="D51" s="6">
        <f>C51*0.1</f>
        <v>1000000</v>
      </c>
      <c r="E51" s="6">
        <f t="shared" ref="E51" si="54">C51-D51</f>
        <v>9000000</v>
      </c>
      <c r="F51" s="6">
        <f t="shared" si="52"/>
        <v>90.000000000000014</v>
      </c>
      <c r="G51" s="6">
        <f t="shared" si="53"/>
        <v>27.272727272727277</v>
      </c>
      <c r="H51" s="6">
        <f t="shared" si="15"/>
        <v>349091</v>
      </c>
      <c r="I51" s="6">
        <f t="shared" si="16"/>
        <v>9000.0023437499985</v>
      </c>
      <c r="J51" s="7">
        <f>(((I51/1000000000)*100)/B51)-100</f>
        <v>-9.9999765625000094</v>
      </c>
    </row>
    <row r="52" spans="1:10" x14ac:dyDescent="0.3">
      <c r="B52" s="2">
        <v>1.0000000000000001E-5</v>
      </c>
      <c r="C52" s="3">
        <f t="shared" ref="C52:C57" si="55">$E$2*1000000</f>
        <v>10000000</v>
      </c>
      <c r="D52" s="3">
        <f>C52*0.01</f>
        <v>100000</v>
      </c>
      <c r="E52" s="3">
        <f>C52-D52</f>
        <v>9900000</v>
      </c>
      <c r="F52" s="3">
        <f>E52*B52</f>
        <v>99.000000000000014</v>
      </c>
      <c r="G52" s="3">
        <f>F52*(10000/33000)</f>
        <v>30.000000000000004</v>
      </c>
      <c r="H52" s="3">
        <f t="shared" si="15"/>
        <v>384000</v>
      </c>
      <c r="I52" s="3">
        <f t="shared" si="16"/>
        <v>9900</v>
      </c>
      <c r="J52" s="4">
        <f>(((I52/1000000000)*100)/B52)-100</f>
        <v>-1.0000000000000142</v>
      </c>
    </row>
    <row r="53" spans="1:10" ht="15" thickBot="1" x14ac:dyDescent="0.35">
      <c r="B53" s="5">
        <v>1.0000000000000001E-5</v>
      </c>
      <c r="C53" s="6">
        <f t="shared" si="55"/>
        <v>10000000</v>
      </c>
      <c r="D53" s="6">
        <f>C53*0.01</f>
        <v>100000</v>
      </c>
      <c r="E53" s="6">
        <f>C53+D53</f>
        <v>10100000</v>
      </c>
      <c r="F53" s="6">
        <f t="shared" ref="F53:F57" si="56">E53*B53</f>
        <v>101.00000000000001</v>
      </c>
      <c r="G53" s="6">
        <f t="shared" ref="G53:G57" si="57">F53*(10000/33000)</f>
        <v>30.606060606060613</v>
      </c>
      <c r="H53" s="6">
        <f t="shared" si="15"/>
        <v>391758</v>
      </c>
      <c r="I53" s="6">
        <f t="shared" si="16"/>
        <v>10100.010937500001</v>
      </c>
      <c r="J53" s="7">
        <f>(((I53/1000000000)*100)/B53)-100</f>
        <v>1.0001093750000081</v>
      </c>
    </row>
    <row r="54" spans="1:10" x14ac:dyDescent="0.3">
      <c r="B54" s="2">
        <v>1.0000000000000001E-5</v>
      </c>
      <c r="C54" s="3">
        <f t="shared" si="55"/>
        <v>10000000</v>
      </c>
      <c r="D54" s="3">
        <f>C54*0.001</f>
        <v>10000</v>
      </c>
      <c r="E54" s="3">
        <f t="shared" ref="E54" si="58">C54-D54</f>
        <v>9990000</v>
      </c>
      <c r="F54" s="3">
        <f t="shared" si="56"/>
        <v>99.9</v>
      </c>
      <c r="G54" s="3">
        <f t="shared" si="57"/>
        <v>30.272727272727277</v>
      </c>
      <c r="H54" s="3">
        <f t="shared" si="15"/>
        <v>387491</v>
      </c>
      <c r="I54" s="3">
        <f t="shared" si="16"/>
        <v>9990.0023437500004</v>
      </c>
      <c r="J54" s="4">
        <f>(((I54/1000000000)*100)/B54)-100</f>
        <v>-9.9976562500003752E-2</v>
      </c>
    </row>
    <row r="55" spans="1:10" ht="15" thickBot="1" x14ac:dyDescent="0.35">
      <c r="B55" s="5">
        <v>1.0000000000000001E-5</v>
      </c>
      <c r="C55" s="6">
        <f t="shared" si="55"/>
        <v>10000000</v>
      </c>
      <c r="D55" s="6">
        <f>C55*0.001</f>
        <v>10000</v>
      </c>
      <c r="E55" s="6">
        <f>C55+D55</f>
        <v>10010000</v>
      </c>
      <c r="F55" s="6">
        <f t="shared" si="56"/>
        <v>100.10000000000001</v>
      </c>
      <c r="G55" s="6">
        <f t="shared" si="57"/>
        <v>30.333333333333336</v>
      </c>
      <c r="H55" s="6">
        <f t="shared" si="15"/>
        <v>388267</v>
      </c>
      <c r="I55" s="6">
        <f t="shared" si="16"/>
        <v>10010.008593750001</v>
      </c>
      <c r="J55" s="7">
        <f>(((I55/1000000000)*100)/B55)-100</f>
        <v>0.10008593750001182</v>
      </c>
    </row>
    <row r="56" spans="1:10" x14ac:dyDescent="0.3">
      <c r="B56" s="2">
        <v>1.0000000000000001E-5</v>
      </c>
      <c r="C56" s="3">
        <f t="shared" si="55"/>
        <v>10000000</v>
      </c>
      <c r="D56" s="3">
        <f>C56*0.0001</f>
        <v>1000</v>
      </c>
      <c r="E56" s="3">
        <f>C56-D56</f>
        <v>9999000</v>
      </c>
      <c r="F56" s="3">
        <f t="shared" si="56"/>
        <v>99.990000000000009</v>
      </c>
      <c r="G56" s="3">
        <f t="shared" si="57"/>
        <v>30.300000000000004</v>
      </c>
      <c r="H56" s="1">
        <f t="shared" si="15"/>
        <v>387840</v>
      </c>
      <c r="I56" s="3">
        <f t="shared" si="16"/>
        <v>9999</v>
      </c>
      <c r="J56" s="4">
        <f>(((I56/1000000000)*100)/B56)-100</f>
        <v>-1.0000000000005116E-2</v>
      </c>
    </row>
    <row r="57" spans="1:10" ht="15" thickBot="1" x14ac:dyDescent="0.35">
      <c r="B57" s="5">
        <v>1.0000000000000001E-5</v>
      </c>
      <c r="C57" s="6">
        <f t="shared" si="55"/>
        <v>10000000</v>
      </c>
      <c r="D57" s="6">
        <f t="shared" ref="D57" si="59">C57*0.0001</f>
        <v>1000</v>
      </c>
      <c r="E57" s="6">
        <f t="shared" ref="E57" si="60">C57+D57</f>
        <v>10001000</v>
      </c>
      <c r="F57" s="6">
        <f t="shared" si="56"/>
        <v>100.01</v>
      </c>
      <c r="G57" s="6">
        <f t="shared" si="57"/>
        <v>30.306060606060608</v>
      </c>
      <c r="H57" s="6">
        <f t="shared" si="15"/>
        <v>387918</v>
      </c>
      <c r="I57" s="6">
        <f t="shared" si="16"/>
        <v>10001.010937499999</v>
      </c>
      <c r="J57" s="7">
        <f>(((I57/1000000000)*100)/B57)-100</f>
        <v>1.0109374999984766E-2</v>
      </c>
    </row>
  </sheetData>
  <conditionalFormatting sqref="H14:H21">
    <cfRule type="cellIs" dxfId="18" priority="11" operator="lessThan">
      <formula>50</formula>
    </cfRule>
  </conditionalFormatting>
  <conditionalFormatting sqref="H23:H30">
    <cfRule type="cellIs" dxfId="17" priority="10" operator="lessThan">
      <formula>10</formula>
    </cfRule>
  </conditionalFormatting>
  <conditionalFormatting sqref="H32:H39">
    <cfRule type="cellIs" dxfId="16" priority="9" operator="lessThan">
      <formula>10</formula>
    </cfRule>
  </conditionalFormatting>
  <conditionalFormatting sqref="H41:H48">
    <cfRule type="cellIs" dxfId="15" priority="8" operator="lessThan">
      <formula>10</formula>
    </cfRule>
  </conditionalFormatting>
  <conditionalFormatting sqref="H50:H57">
    <cfRule type="cellIs" dxfId="14" priority="7" operator="lessThan">
      <formula>10</formula>
    </cfRule>
  </conditionalFormatting>
  <conditionalFormatting sqref="H5:H12">
    <cfRule type="cellIs" dxfId="13" priority="6" operator="lessThan">
      <formula>50</formula>
    </cfRule>
  </conditionalFormatting>
  <conditionalFormatting sqref="J5:J12 J50:J57 J14:J21 J23:J30 J32:J39 J41:J48">
    <cfRule type="cellIs" dxfId="12" priority="5" operator="between">
      <formula>-2</formula>
      <formula>2</formula>
    </cfRule>
  </conditionalFormatting>
  <conditionalFormatting sqref="H5:H12 H23:H30 H32:H39 H41:H48 H14:H21 H50:H57">
    <cfRule type="cellIs" dxfId="11" priority="4" operator="notBetween">
      <formula>50</formula>
      <formula>65536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2026-03-18T13:24:12Z</dcterms:created>
  <dcterms:modified xsi:type="dcterms:W3CDTF">2026-03-18T17:48:25Z</dcterms:modified>
</cp:coreProperties>
</file>