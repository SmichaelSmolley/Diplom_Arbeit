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Messung_von_Quanteneffecten_in_MOSFETs\Diplom_Arbeit\Dokumentation\"/>
    </mc:Choice>
  </mc:AlternateContent>
  <xr:revisionPtr revIDLastSave="0" documentId="8_{01198566-B4DC-4946-BCE3-1D3F84FB7267}" xr6:coauthVersionLast="47" xr6:coauthVersionMax="47" xr10:uidLastSave="{00000000-0000-0000-0000-000000000000}"/>
  <bookViews>
    <workbookView xWindow="-108" yWindow="-108" windowWidth="30936" windowHeight="16776" xr2:uid="{7AF9E5E7-61EE-4B50-9126-C0CB14A5359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1" l="1"/>
  <c r="H83" i="1" s="1"/>
  <c r="G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49" i="1"/>
  <c r="L35" i="1"/>
  <c r="L37" i="1"/>
  <c r="L38" i="1"/>
  <c r="L39" i="1"/>
  <c r="L40" i="1"/>
  <c r="L41" i="1"/>
  <c r="L42" i="1"/>
  <c r="L43" i="1"/>
  <c r="K35" i="1"/>
  <c r="K36" i="1"/>
  <c r="L36" i="1" s="1"/>
  <c r="K37" i="1"/>
  <c r="K38" i="1"/>
  <c r="K39" i="1"/>
  <c r="K40" i="1"/>
  <c r="K41" i="1"/>
  <c r="K42" i="1"/>
  <c r="K43" i="1"/>
  <c r="J35" i="1"/>
  <c r="J36" i="1"/>
  <c r="J37" i="1"/>
  <c r="J38" i="1"/>
  <c r="J39" i="1"/>
  <c r="J40" i="1"/>
  <c r="J41" i="1"/>
  <c r="J42" i="1"/>
  <c r="J43" i="1"/>
  <c r="K34" i="1"/>
  <c r="J34" i="1"/>
  <c r="L34" i="1" s="1"/>
  <c r="H82" i="1" l="1"/>
  <c r="H78" i="1"/>
  <c r="H76" i="1"/>
  <c r="H74" i="1"/>
  <c r="H71" i="1"/>
  <c r="H75" i="1"/>
  <c r="H72" i="1"/>
  <c r="H79" i="1"/>
  <c r="H73" i="1"/>
  <c r="H80" i="1"/>
  <c r="H77" i="1"/>
  <c r="H81" i="1"/>
</calcChain>
</file>

<file path=xl/sharedStrings.xml><?xml version="1.0" encoding="utf-8"?>
<sst xmlns="http://schemas.openxmlformats.org/spreadsheetml/2006/main" count="36" uniqueCount="28">
  <si>
    <t>Ua in V</t>
  </si>
  <si>
    <t>Rl in kOhm</t>
  </si>
  <si>
    <t>ripple uss</t>
  </si>
  <si>
    <t>Ue p = 9V</t>
  </si>
  <si>
    <t>Ue p = 5V</t>
  </si>
  <si>
    <t>DC-DC</t>
  </si>
  <si>
    <t>Max. Belastung</t>
  </si>
  <si>
    <t>P1 / Vin</t>
  </si>
  <si>
    <t>P2 / Iin</t>
  </si>
  <si>
    <t>P3 / Vout</t>
  </si>
  <si>
    <t>P4 / Iout</t>
  </si>
  <si>
    <t>1.</t>
  </si>
  <si>
    <t>Hiccup-Modus wenn zu viel Strom gezogen wird</t>
  </si>
  <si>
    <t xml:space="preserve">geht schlafen bis er wieder versucht </t>
  </si>
  <si>
    <t>Pin</t>
  </si>
  <si>
    <t>Pout</t>
  </si>
  <si>
    <t>n</t>
  </si>
  <si>
    <t>n / %</t>
  </si>
  <si>
    <t>2.</t>
  </si>
  <si>
    <t>min Ue</t>
  </si>
  <si>
    <t>I out</t>
  </si>
  <si>
    <t>U out</t>
  </si>
  <si>
    <t>I in</t>
  </si>
  <si>
    <t>U in</t>
  </si>
  <si>
    <t>HICCUP</t>
  </si>
  <si>
    <t>Leistung pin</t>
  </si>
  <si>
    <t>pout</t>
  </si>
  <si>
    <t>max 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</si>
</sst>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Ua / Rl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Tabelle1!$B$3:$B$11</c:f>
              <c:numCache>
                <c:formatCode>General</c:formatCode>
                <c:ptCount val="9"/>
                <c:pt idx="0">
                  <c:v>100</c:v>
                </c:pt>
                <c:pt idx="1">
                  <c:v>50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0.5</c:v>
                </c:pt>
                <c:pt idx="8">
                  <c:v>0.2</c:v>
                </c:pt>
              </c:numCache>
            </c:numRef>
          </c:xVal>
          <c:yVal>
            <c:numRef>
              <c:f>Tabelle1!$C$3:$C$11</c:f>
              <c:numCache>
                <c:formatCode>General</c:formatCode>
                <c:ptCount val="9"/>
                <c:pt idx="0">
                  <c:v>8.75</c:v>
                </c:pt>
                <c:pt idx="1">
                  <c:v>8.64</c:v>
                </c:pt>
                <c:pt idx="2">
                  <c:v>8.42</c:v>
                </c:pt>
                <c:pt idx="3">
                  <c:v>8.1300000000000008</c:v>
                </c:pt>
                <c:pt idx="4">
                  <c:v>7.62</c:v>
                </c:pt>
                <c:pt idx="5">
                  <c:v>6.46</c:v>
                </c:pt>
                <c:pt idx="6">
                  <c:v>5.1779999999999999</c:v>
                </c:pt>
                <c:pt idx="7">
                  <c:v>4.3179999999999996</c:v>
                </c:pt>
                <c:pt idx="8">
                  <c:v>3.7040000000000002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26-44A4-9D1F-705C1A590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90864"/>
        <c:axId val="764098544"/>
      </c:scatterChart>
      <c:valAx>
        <c:axId val="76409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4098544"/>
        <c:crosses val="autoZero"/>
        <c:crossBetween val="midCat"/>
      </c:valAx>
      <c:valAx>
        <c:axId val="76409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409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Tabelle1!$L$33</c:f>
              <c:strCache>
                <c:ptCount val="1"/>
                <c:pt idx="0">
                  <c:v>n /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Tabelle1!$B$34:$B$43</c:f>
              <c:numCache>
                <c:formatCode>General</c:formatCode>
                <c:ptCount val="10"/>
                <c:pt idx="0">
                  <c:v>9.02</c:v>
                </c:pt>
                <c:pt idx="1">
                  <c:v>10.08</c:v>
                </c:pt>
                <c:pt idx="2">
                  <c:v>11.03</c:v>
                </c:pt>
                <c:pt idx="3">
                  <c:v>12.04</c:v>
                </c:pt>
                <c:pt idx="4">
                  <c:v>13.03</c:v>
                </c:pt>
                <c:pt idx="5">
                  <c:v>14</c:v>
                </c:pt>
                <c:pt idx="6">
                  <c:v>15.07</c:v>
                </c:pt>
                <c:pt idx="7">
                  <c:v>16.02</c:v>
                </c:pt>
                <c:pt idx="8">
                  <c:v>17.02</c:v>
                </c:pt>
                <c:pt idx="9">
                  <c:v>18.07</c:v>
                </c:pt>
              </c:numCache>
            </c:numRef>
          </c:xVal>
          <c:yVal>
            <c:numRef>
              <c:f>Tabelle1!$L$34:$L$43</c:f>
              <c:numCache>
                <c:formatCode>General</c:formatCode>
                <c:ptCount val="10"/>
                <c:pt idx="0">
                  <c:v>82.549236989696112</c:v>
                </c:pt>
                <c:pt idx="1">
                  <c:v>83.249473822678226</c:v>
                </c:pt>
                <c:pt idx="2">
                  <c:v>83.185011318823726</c:v>
                </c:pt>
                <c:pt idx="3">
                  <c:v>83.645781261750656</c:v>
                </c:pt>
                <c:pt idx="4">
                  <c:v>83.759256859794078</c:v>
                </c:pt>
                <c:pt idx="5">
                  <c:v>83.822287487531852</c:v>
                </c:pt>
                <c:pt idx="6">
                  <c:v>83.782349037823494</c:v>
                </c:pt>
                <c:pt idx="7">
                  <c:v>83.56328283180126</c:v>
                </c:pt>
                <c:pt idx="8">
                  <c:v>83.299614216349255</c:v>
                </c:pt>
                <c:pt idx="9">
                  <c:v>83.096070835639182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73-4E54-8A84-6845744C5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96144"/>
        <c:axId val="764108144"/>
      </c:scatterChart>
      <c:valAx>
        <c:axId val="764096144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4108144"/>
        <c:crosses val="autoZero"/>
        <c:crossBetween val="midCat"/>
      </c:valAx>
      <c:valAx>
        <c:axId val="76410814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409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721487064430034E-2"/>
          <c:y val="2.6507341793672316E-2"/>
          <c:w val="0.85806565942605117"/>
          <c:h val="0.80641630680649801"/>
        </c:manualLayout>
      </c:layout>
      <c:scatterChart>
        <c:scatterStyle val="smoothMarker"/>
        <c:varyColors val="0"/>
        <c:ser>
          <c:idx val="1"/>
          <c:order val="0"/>
          <c:tx>
            <c:v>max. Eingangsspannung</c:v>
          </c:tx>
          <c:spPr>
            <a:ln w="22225"/>
          </c:spPr>
          <c:marker>
            <c:symbol val="triangle"/>
            <c:size val="5"/>
          </c:marker>
          <c:xVal>
            <c:numRef>
              <c:f>Tabelle1!$B$49:$B$66</c:f>
              <c:numCache>
                <c:formatCode>General</c:formatCode>
                <c:ptCount val="18"/>
                <c:pt idx="0">
                  <c:v>0.10299999999999999</c:v>
                </c:pt>
                <c:pt idx="1">
                  <c:v>0.151</c:v>
                </c:pt>
                <c:pt idx="2">
                  <c:v>0.20599999999999999</c:v>
                </c:pt>
                <c:pt idx="3">
                  <c:v>0.253</c:v>
                </c:pt>
                <c:pt idx="4">
                  <c:v>0.309</c:v>
                </c:pt>
                <c:pt idx="5">
                  <c:v>0.35299999999999998</c:v>
                </c:pt>
                <c:pt idx="6">
                  <c:v>0.40100000000000002</c:v>
                </c:pt>
                <c:pt idx="7">
                  <c:v>0.45600000000000002</c:v>
                </c:pt>
                <c:pt idx="8">
                  <c:v>0.50600000000000001</c:v>
                </c:pt>
                <c:pt idx="9">
                  <c:v>0.55600000000000005</c:v>
                </c:pt>
                <c:pt idx="10">
                  <c:v>0.61199999999999999</c:v>
                </c:pt>
                <c:pt idx="11">
                  <c:v>0.70099999999999996</c:v>
                </c:pt>
                <c:pt idx="12">
                  <c:v>0.80100000000000005</c:v>
                </c:pt>
                <c:pt idx="13">
                  <c:v>0.9</c:v>
                </c:pt>
                <c:pt idx="14">
                  <c:v>1.0899000000000001</c:v>
                </c:pt>
                <c:pt idx="15">
                  <c:v>1.1240000000000001</c:v>
                </c:pt>
                <c:pt idx="16">
                  <c:v>1.2809999999999999</c:v>
                </c:pt>
                <c:pt idx="17">
                  <c:v>1.4419999999999999</c:v>
                </c:pt>
              </c:numCache>
            </c:numRef>
          </c:xVal>
          <c:yVal>
            <c:numRef>
              <c:f>Tabelle1!$H$49:$H$66</c:f>
              <c:numCache>
                <c:formatCode>General</c:formatCode>
                <c:ptCount val="18"/>
                <c:pt idx="0">
                  <c:v>66.743124240846768</c:v>
                </c:pt>
                <c:pt idx="1">
                  <c:v>73.486207121429487</c:v>
                </c:pt>
                <c:pt idx="2">
                  <c:v>77.553980425789533</c:v>
                </c:pt>
                <c:pt idx="3">
                  <c:v>79.848941798941794</c:v>
                </c:pt>
                <c:pt idx="4">
                  <c:v>81.937905925343074</c:v>
                </c:pt>
                <c:pt idx="5">
                  <c:v>82.801775072306469</c:v>
                </c:pt>
                <c:pt idx="6">
                  <c:v>83.448324022346384</c:v>
                </c:pt>
                <c:pt idx="7">
                  <c:v>84.633781763826619</c:v>
                </c:pt>
                <c:pt idx="8">
                  <c:v>84.853425699079153</c:v>
                </c:pt>
                <c:pt idx="9">
                  <c:v>84.934708132977107</c:v>
                </c:pt>
                <c:pt idx="10">
                  <c:v>85.172173441176611</c:v>
                </c:pt>
                <c:pt idx="11">
                  <c:v>85.231667535867288</c:v>
                </c:pt>
                <c:pt idx="12">
                  <c:v>84.908251355149588</c:v>
                </c:pt>
                <c:pt idx="13">
                  <c:v>84.634983410497512</c:v>
                </c:pt>
                <c:pt idx="14">
                  <c:v>83.772226827474299</c:v>
                </c:pt>
                <c:pt idx="15">
                  <c:v>83.280811536787766</c:v>
                </c:pt>
                <c:pt idx="16">
                  <c:v>82.827651794644751</c:v>
                </c:pt>
                <c:pt idx="17">
                  <c:v>81.203828544476579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6F-493B-B297-57D0079FD579}"/>
            </c:ext>
          </c:extLst>
        </c:ser>
        <c:ser>
          <c:idx val="0"/>
          <c:order val="1"/>
          <c:tx>
            <c:v>mim. Eingangsspannung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Tabelle1!$B$71:$B$83</c:f>
              <c:numCache>
                <c:formatCode>General</c:formatCode>
                <c:ptCount val="13"/>
                <c:pt idx="0">
                  <c:v>0.10199999999999999</c:v>
                </c:pt>
                <c:pt idx="1">
                  <c:v>0.20100000000000001</c:v>
                </c:pt>
                <c:pt idx="2">
                  <c:v>0.30499999999999999</c:v>
                </c:pt>
                <c:pt idx="3">
                  <c:v>0.40300000000000002</c:v>
                </c:pt>
                <c:pt idx="4">
                  <c:v>0.502</c:v>
                </c:pt>
                <c:pt idx="5">
                  <c:v>0.60899999999999999</c:v>
                </c:pt>
                <c:pt idx="6">
                  <c:v>0.70099999999999996</c:v>
                </c:pt>
                <c:pt idx="7">
                  <c:v>0.80900000000000005</c:v>
                </c:pt>
                <c:pt idx="8">
                  <c:v>0.90700000000000003</c:v>
                </c:pt>
                <c:pt idx="9">
                  <c:v>1.022</c:v>
                </c:pt>
                <c:pt idx="10">
                  <c:v>1.1259999999999999</c:v>
                </c:pt>
                <c:pt idx="11">
                  <c:v>1.2030000000000001</c:v>
                </c:pt>
                <c:pt idx="12">
                  <c:v>1.3340000000000001</c:v>
                </c:pt>
              </c:numCache>
            </c:numRef>
          </c:xVal>
          <c:yVal>
            <c:numRef>
              <c:f>Tabelle1!$H$71:$H$83</c:f>
              <c:numCache>
                <c:formatCode>General</c:formatCode>
                <c:ptCount val="13"/>
                <c:pt idx="0">
                  <c:v>60.478305703180766</c:v>
                </c:pt>
                <c:pt idx="1">
                  <c:v>69.481309060589211</c:v>
                </c:pt>
                <c:pt idx="2">
                  <c:v>76.079729356762314</c:v>
                </c:pt>
                <c:pt idx="3">
                  <c:v>79.045092838196283</c:v>
                </c:pt>
                <c:pt idx="4">
                  <c:v>81.171275222501521</c:v>
                </c:pt>
                <c:pt idx="5">
                  <c:v>82.586678254561875</c:v>
                </c:pt>
                <c:pt idx="6">
                  <c:v>83.330631652888087</c:v>
                </c:pt>
                <c:pt idx="7">
                  <c:v>83.762692421518906</c:v>
                </c:pt>
                <c:pt idx="8">
                  <c:v>83.954694135379739</c:v>
                </c:pt>
                <c:pt idx="9">
                  <c:v>83.88436989180353</c:v>
                </c:pt>
                <c:pt idx="10">
                  <c:v>83.542415901948061</c:v>
                </c:pt>
                <c:pt idx="11">
                  <c:v>83.472873586779457</c:v>
                </c:pt>
                <c:pt idx="12">
                  <c:v>83.269320186752779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6F-493B-B297-57D0079FD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693824"/>
        <c:axId val="717711584"/>
      </c:scatterChart>
      <c:valAx>
        <c:axId val="71769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Ausgangsstrom in 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7711584"/>
        <c:crosses val="autoZero"/>
        <c:crossBetween val="midCat"/>
      </c:valAx>
      <c:valAx>
        <c:axId val="7177115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Wirkungsgrad 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76938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95311720632365"/>
          <c:y val="0.67577164301871273"/>
          <c:w val="0.30539897300636165"/>
          <c:h val="0.11806138186304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2</xdr:row>
      <xdr:rowOff>19050</xdr:rowOff>
    </xdr:from>
    <xdr:to>
      <xdr:col>11</xdr:col>
      <xdr:colOff>243840</xdr:colOff>
      <xdr:row>17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A6C4FDC-71D1-648F-80D1-413EAA589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70971</xdr:colOff>
      <xdr:row>29</xdr:row>
      <xdr:rowOff>10459</xdr:rowOff>
    </xdr:from>
    <xdr:to>
      <xdr:col>17</xdr:col>
      <xdr:colOff>683559</xdr:colOff>
      <xdr:row>44</xdr:row>
      <xdr:rowOff>64247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75BEA67-A691-5BF0-FB04-22A42439C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519206</xdr:colOff>
      <xdr:row>59</xdr:row>
      <xdr:rowOff>32870</xdr:rowOff>
    </xdr:from>
    <xdr:to>
      <xdr:col>16</xdr:col>
      <xdr:colOff>267730</xdr:colOff>
      <xdr:row>80</xdr:row>
      <xdr:rowOff>30892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3F4A817-24CA-9400-A6AB-5872F2B56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BDFC-86AF-4C0B-BD9D-A957F21F2CAC}">
  <dimension ref="A1:L89"/>
  <sheetViews>
    <sheetView tabSelected="1" topLeftCell="A48" zoomScale="74" workbookViewId="0">
      <selection activeCell="B48" sqref="B48"/>
    </sheetView>
  </sheetViews>
  <sheetFormatPr baseColWidth="10" defaultRowHeight="14.4" x14ac:dyDescent="0.3"/>
  <sheetData>
    <row r="1" spans="2:4" x14ac:dyDescent="0.3">
      <c r="B1" t="s">
        <v>4</v>
      </c>
    </row>
    <row r="2" spans="2:4" x14ac:dyDescent="0.3">
      <c r="B2" t="s">
        <v>1</v>
      </c>
      <c r="C2" t="s">
        <v>0</v>
      </c>
      <c r="D2" t="s">
        <v>2</v>
      </c>
    </row>
    <row r="3" spans="2:4" x14ac:dyDescent="0.3">
      <c r="B3">
        <v>100</v>
      </c>
      <c r="C3">
        <v>8.75</v>
      </c>
      <c r="D3">
        <v>2.8000000000000001E-2</v>
      </c>
    </row>
    <row r="4" spans="2:4" x14ac:dyDescent="0.3">
      <c r="B4">
        <v>50</v>
      </c>
      <c r="C4">
        <v>8.64</v>
      </c>
    </row>
    <row r="5" spans="2:4" x14ac:dyDescent="0.3">
      <c r="B5">
        <v>20</v>
      </c>
      <c r="C5">
        <v>8.42</v>
      </c>
    </row>
    <row r="6" spans="2:4" x14ac:dyDescent="0.3">
      <c r="B6">
        <v>10</v>
      </c>
      <c r="C6">
        <v>8.1300000000000008</v>
      </c>
      <c r="D6">
        <v>0.222</v>
      </c>
    </row>
    <row r="7" spans="2:4" x14ac:dyDescent="0.3">
      <c r="B7">
        <v>5</v>
      </c>
      <c r="C7">
        <v>7.62</v>
      </c>
    </row>
    <row r="8" spans="2:4" x14ac:dyDescent="0.3">
      <c r="B8">
        <v>2</v>
      </c>
      <c r="C8">
        <v>6.46</v>
      </c>
      <c r="D8">
        <v>1.1200000000000001</v>
      </c>
    </row>
    <row r="9" spans="2:4" x14ac:dyDescent="0.3">
      <c r="B9">
        <v>1</v>
      </c>
      <c r="C9">
        <v>5.1779999999999999</v>
      </c>
    </row>
    <row r="10" spans="2:4" x14ac:dyDescent="0.3">
      <c r="B10">
        <v>0.5</v>
      </c>
      <c r="C10">
        <v>4.3179999999999996</v>
      </c>
    </row>
    <row r="11" spans="2:4" x14ac:dyDescent="0.3">
      <c r="B11">
        <v>0.2</v>
      </c>
      <c r="C11">
        <v>3.7040000000000002</v>
      </c>
    </row>
    <row r="17" spans="1:4" x14ac:dyDescent="0.3">
      <c r="B17" t="s">
        <v>3</v>
      </c>
    </row>
    <row r="18" spans="1:4" x14ac:dyDescent="0.3">
      <c r="B18">
        <v>999.99900000000002</v>
      </c>
      <c r="C18">
        <v>-8.2100000000000009</v>
      </c>
    </row>
    <row r="19" spans="1:4" x14ac:dyDescent="0.3">
      <c r="B19">
        <v>100</v>
      </c>
      <c r="C19">
        <v>-7.99</v>
      </c>
      <c r="D19">
        <v>2.3E-2</v>
      </c>
    </row>
    <row r="20" spans="1:4" x14ac:dyDescent="0.3">
      <c r="B20">
        <v>50</v>
      </c>
      <c r="C20">
        <v>-7.89</v>
      </c>
    </row>
    <row r="21" spans="1:4" x14ac:dyDescent="0.3">
      <c r="B21">
        <v>20</v>
      </c>
      <c r="C21">
        <v>-7.68</v>
      </c>
    </row>
    <row r="22" spans="1:4" x14ac:dyDescent="0.3">
      <c r="B22">
        <v>10</v>
      </c>
      <c r="C22">
        <v>-7.41</v>
      </c>
      <c r="D22">
        <v>0.24</v>
      </c>
    </row>
    <row r="23" spans="1:4" x14ac:dyDescent="0.3">
      <c r="B23">
        <v>5</v>
      </c>
      <c r="C23">
        <v>-6.94</v>
      </c>
    </row>
    <row r="24" spans="1:4" x14ac:dyDescent="0.3">
      <c r="B24">
        <v>2</v>
      </c>
      <c r="C24">
        <v>-5.8739999999999997</v>
      </c>
      <c r="D24">
        <v>1.01</v>
      </c>
    </row>
    <row r="25" spans="1:4" x14ac:dyDescent="0.3">
      <c r="B25">
        <v>1</v>
      </c>
      <c r="C25">
        <v>-4.7069999999999999</v>
      </c>
    </row>
    <row r="26" spans="1:4" x14ac:dyDescent="0.3">
      <c r="B26">
        <v>0.5</v>
      </c>
      <c r="C26">
        <v>-3.387</v>
      </c>
    </row>
    <row r="27" spans="1:4" x14ac:dyDescent="0.3">
      <c r="B27">
        <v>0.2</v>
      </c>
      <c r="C27">
        <v>-1.8759999999999999</v>
      </c>
    </row>
    <row r="30" spans="1:4" x14ac:dyDescent="0.3">
      <c r="B30" t="s">
        <v>5</v>
      </c>
    </row>
    <row r="32" spans="1:4" x14ac:dyDescent="0.3">
      <c r="A32" t="s">
        <v>11</v>
      </c>
      <c r="B32" t="s">
        <v>6</v>
      </c>
    </row>
    <row r="33" spans="1:12" x14ac:dyDescent="0.3">
      <c r="B33" t="s">
        <v>7</v>
      </c>
      <c r="C33" t="s">
        <v>8</v>
      </c>
      <c r="D33" t="s">
        <v>9</v>
      </c>
      <c r="E33" t="s">
        <v>10</v>
      </c>
      <c r="F33" t="s">
        <v>12</v>
      </c>
      <c r="J33" t="s">
        <v>14</v>
      </c>
      <c r="K33" t="s">
        <v>15</v>
      </c>
      <c r="L33" t="s">
        <v>17</v>
      </c>
    </row>
    <row r="34" spans="1:12" x14ac:dyDescent="0.3">
      <c r="B34">
        <v>9.02</v>
      </c>
      <c r="C34">
        <v>2.04</v>
      </c>
      <c r="D34">
        <v>11.83</v>
      </c>
      <c r="E34">
        <v>1.284</v>
      </c>
      <c r="F34" t="s">
        <v>13</v>
      </c>
      <c r="J34">
        <f>B34*C34</f>
        <v>18.4008</v>
      </c>
      <c r="K34">
        <f>D34*E34</f>
        <v>15.189720000000001</v>
      </c>
      <c r="L34">
        <f>K34/J34*100</f>
        <v>82.549236989696112</v>
      </c>
    </row>
    <row r="35" spans="1:12" x14ac:dyDescent="0.3">
      <c r="B35">
        <v>10.08</v>
      </c>
      <c r="C35">
        <v>1.81</v>
      </c>
      <c r="D35">
        <v>11.82</v>
      </c>
      <c r="E35">
        <v>1.2849999999999999</v>
      </c>
      <c r="J35">
        <f t="shared" ref="J35:J43" si="0">B35*C35</f>
        <v>18.244800000000001</v>
      </c>
      <c r="K35">
        <f t="shared" ref="K35:K43" si="1">D35*E35</f>
        <v>15.188699999999999</v>
      </c>
      <c r="L35">
        <f t="shared" ref="L35:L43" si="2">K35/J35*100</f>
        <v>83.249473822678226</v>
      </c>
    </row>
    <row r="36" spans="1:12" x14ac:dyDescent="0.3">
      <c r="B36">
        <v>11.03</v>
      </c>
      <c r="C36">
        <v>1.63</v>
      </c>
      <c r="D36">
        <v>11.73</v>
      </c>
      <c r="E36">
        <v>1.2749999999999999</v>
      </c>
      <c r="J36">
        <f t="shared" si="0"/>
        <v>17.978899999999999</v>
      </c>
      <c r="K36">
        <f t="shared" si="1"/>
        <v>14.95575</v>
      </c>
      <c r="L36">
        <f t="shared" si="2"/>
        <v>83.185011318823726</v>
      </c>
    </row>
    <row r="37" spans="1:12" x14ac:dyDescent="0.3">
      <c r="B37">
        <v>12.04</v>
      </c>
      <c r="C37">
        <v>1.502</v>
      </c>
      <c r="D37">
        <v>11.79</v>
      </c>
      <c r="E37">
        <v>1.2829999999999999</v>
      </c>
      <c r="J37">
        <f t="shared" si="0"/>
        <v>18.08408</v>
      </c>
      <c r="K37">
        <f t="shared" si="1"/>
        <v>15.126569999999997</v>
      </c>
      <c r="L37">
        <f t="shared" si="2"/>
        <v>83.645781261750656</v>
      </c>
    </row>
    <row r="38" spans="1:12" x14ac:dyDescent="0.3">
      <c r="B38">
        <v>13.03</v>
      </c>
      <c r="C38">
        <v>1.3859999999999999</v>
      </c>
      <c r="D38">
        <v>11.79</v>
      </c>
      <c r="E38">
        <v>1.2829999999999999</v>
      </c>
      <c r="J38">
        <f t="shared" si="0"/>
        <v>18.059579999999997</v>
      </c>
      <c r="K38">
        <f t="shared" si="1"/>
        <v>15.126569999999997</v>
      </c>
      <c r="L38">
        <f t="shared" si="2"/>
        <v>83.759256859794078</v>
      </c>
    </row>
    <row r="39" spans="1:12" x14ac:dyDescent="0.3">
      <c r="B39">
        <v>14</v>
      </c>
      <c r="C39">
        <v>1.2889999999999999</v>
      </c>
      <c r="D39">
        <v>11.79</v>
      </c>
      <c r="E39">
        <v>1.2829999999999999</v>
      </c>
      <c r="J39">
        <f t="shared" si="0"/>
        <v>18.045999999999999</v>
      </c>
      <c r="K39">
        <f t="shared" si="1"/>
        <v>15.126569999999997</v>
      </c>
      <c r="L39">
        <f t="shared" si="2"/>
        <v>83.822287487531852</v>
      </c>
    </row>
    <row r="40" spans="1:12" x14ac:dyDescent="0.3">
      <c r="B40">
        <v>15.07</v>
      </c>
      <c r="C40">
        <v>1.2</v>
      </c>
      <c r="D40">
        <v>11.8</v>
      </c>
      <c r="E40">
        <v>1.284</v>
      </c>
      <c r="J40">
        <f t="shared" si="0"/>
        <v>18.084</v>
      </c>
      <c r="K40">
        <f t="shared" si="1"/>
        <v>15.151200000000001</v>
      </c>
      <c r="L40">
        <f t="shared" si="2"/>
        <v>83.782349037823494</v>
      </c>
    </row>
    <row r="41" spans="1:12" x14ac:dyDescent="0.3">
      <c r="B41">
        <v>16.02</v>
      </c>
      <c r="C41">
        <v>1.129</v>
      </c>
      <c r="D41">
        <v>11.78</v>
      </c>
      <c r="E41">
        <v>1.2829999999999999</v>
      </c>
      <c r="J41">
        <f t="shared" si="0"/>
        <v>18.086579999999998</v>
      </c>
      <c r="K41">
        <f t="shared" si="1"/>
        <v>15.113739999999998</v>
      </c>
      <c r="L41">
        <f t="shared" si="2"/>
        <v>83.56328283180126</v>
      </c>
    </row>
    <row r="42" spans="1:12" x14ac:dyDescent="0.3">
      <c r="B42">
        <v>17.02</v>
      </c>
      <c r="C42">
        <v>1.06</v>
      </c>
      <c r="D42">
        <v>11.75</v>
      </c>
      <c r="E42">
        <v>1.2789999999999999</v>
      </c>
      <c r="J42">
        <f t="shared" si="0"/>
        <v>18.0412</v>
      </c>
      <c r="K42">
        <f t="shared" si="1"/>
        <v>15.02825</v>
      </c>
      <c r="L42">
        <f t="shared" si="2"/>
        <v>83.299614216349255</v>
      </c>
    </row>
    <row r="43" spans="1:12" x14ac:dyDescent="0.3">
      <c r="B43">
        <v>18.07</v>
      </c>
      <c r="C43">
        <v>1</v>
      </c>
      <c r="D43">
        <v>11.74</v>
      </c>
      <c r="E43">
        <v>1.2789999999999999</v>
      </c>
      <c r="J43">
        <f t="shared" si="0"/>
        <v>18.07</v>
      </c>
      <c r="K43">
        <f t="shared" si="1"/>
        <v>15.015459999999999</v>
      </c>
      <c r="L43">
        <f t="shared" si="2"/>
        <v>83.096070835639182</v>
      </c>
    </row>
    <row r="47" spans="1:12" x14ac:dyDescent="0.3">
      <c r="A47" t="s">
        <v>18</v>
      </c>
      <c r="B47" t="s">
        <v>19</v>
      </c>
    </row>
    <row r="48" spans="1:12" x14ac:dyDescent="0.3">
      <c r="B48" t="s">
        <v>20</v>
      </c>
      <c r="C48" t="s">
        <v>21</v>
      </c>
      <c r="D48" t="s">
        <v>22</v>
      </c>
      <c r="E48" t="s">
        <v>23</v>
      </c>
      <c r="F48" t="s">
        <v>25</v>
      </c>
      <c r="G48" t="s">
        <v>26</v>
      </c>
      <c r="H48" t="s">
        <v>16</v>
      </c>
    </row>
    <row r="49" spans="2:8" x14ac:dyDescent="0.3">
      <c r="B49">
        <v>0.10299999999999999</v>
      </c>
      <c r="C49">
        <v>11.95</v>
      </c>
      <c r="D49">
        <v>0.20399999999999999</v>
      </c>
      <c r="E49">
        <v>9.0399999999999991</v>
      </c>
      <c r="F49">
        <f>D49*E49</f>
        <v>1.8441599999999998</v>
      </c>
      <c r="G49">
        <f>B49*C49</f>
        <v>1.2308499999999998</v>
      </c>
      <c r="H49">
        <f>G49/F49*100</f>
        <v>66.743124240846768</v>
      </c>
    </row>
    <row r="50" spans="2:8" x14ac:dyDescent="0.3">
      <c r="B50">
        <v>0.151</v>
      </c>
      <c r="C50">
        <v>11.94</v>
      </c>
      <c r="D50">
        <v>0.27200000000000002</v>
      </c>
      <c r="E50">
        <v>9.02</v>
      </c>
      <c r="F50">
        <f t="shared" ref="F50:F66" si="3">D50*E50</f>
        <v>2.4534400000000001</v>
      </c>
      <c r="G50">
        <f t="shared" ref="G50:G66" si="4">B50*C50</f>
        <v>1.8029399999999998</v>
      </c>
      <c r="H50">
        <f t="shared" ref="H50:H66" si="5">G50/F50*100</f>
        <v>73.486207121429487</v>
      </c>
    </row>
    <row r="51" spans="2:8" x14ac:dyDescent="0.3">
      <c r="B51">
        <v>0.20599999999999999</v>
      </c>
      <c r="C51">
        <v>11.94</v>
      </c>
      <c r="D51">
        <v>0.35199999999999998</v>
      </c>
      <c r="E51">
        <v>9.01</v>
      </c>
      <c r="F51">
        <f t="shared" si="3"/>
        <v>3.1715199999999997</v>
      </c>
      <c r="G51">
        <f t="shared" si="4"/>
        <v>2.4596399999999998</v>
      </c>
      <c r="H51">
        <f t="shared" si="5"/>
        <v>77.553980425789533</v>
      </c>
    </row>
    <row r="52" spans="2:8" x14ac:dyDescent="0.3">
      <c r="B52">
        <v>0.253</v>
      </c>
      <c r="C52">
        <v>11.93</v>
      </c>
      <c r="D52">
        <v>0.42</v>
      </c>
      <c r="E52">
        <v>9</v>
      </c>
      <c r="F52">
        <f t="shared" si="3"/>
        <v>3.78</v>
      </c>
      <c r="G52">
        <f t="shared" si="4"/>
        <v>3.0182899999999999</v>
      </c>
      <c r="H52">
        <f t="shared" si="5"/>
        <v>79.848941798941794</v>
      </c>
    </row>
    <row r="53" spans="2:8" x14ac:dyDescent="0.3">
      <c r="B53">
        <v>0.309</v>
      </c>
      <c r="C53">
        <v>11.93</v>
      </c>
      <c r="D53">
        <v>0.501</v>
      </c>
      <c r="E53">
        <v>8.98</v>
      </c>
      <c r="F53">
        <f t="shared" si="3"/>
        <v>4.4989800000000004</v>
      </c>
      <c r="G53">
        <f t="shared" si="4"/>
        <v>3.6863699999999997</v>
      </c>
      <c r="H53">
        <f t="shared" si="5"/>
        <v>81.937905925343074</v>
      </c>
    </row>
    <row r="54" spans="2:8" x14ac:dyDescent="0.3">
      <c r="B54">
        <v>0.35299999999999998</v>
      </c>
      <c r="C54">
        <v>11.93</v>
      </c>
      <c r="D54">
        <v>0.56699999999999995</v>
      </c>
      <c r="E54">
        <v>8.9700000000000006</v>
      </c>
      <c r="F54">
        <f t="shared" si="3"/>
        <v>5.0859899999999998</v>
      </c>
      <c r="G54">
        <f t="shared" si="4"/>
        <v>4.21129</v>
      </c>
      <c r="H54">
        <f t="shared" si="5"/>
        <v>82.801775072306469</v>
      </c>
    </row>
    <row r="55" spans="2:8" x14ac:dyDescent="0.3">
      <c r="B55" s="1">
        <v>0.40100000000000002</v>
      </c>
      <c r="C55" s="1">
        <v>11.92</v>
      </c>
      <c r="D55" s="1">
        <v>0.64</v>
      </c>
      <c r="E55" s="1">
        <v>8.9499999999999993</v>
      </c>
      <c r="F55" s="1">
        <f t="shared" si="3"/>
        <v>5.7279999999999998</v>
      </c>
      <c r="G55" s="1">
        <f t="shared" si="4"/>
        <v>4.7799200000000006</v>
      </c>
      <c r="H55" s="1">
        <f t="shared" si="5"/>
        <v>83.448324022346384</v>
      </c>
    </row>
    <row r="56" spans="2:8" x14ac:dyDescent="0.3">
      <c r="B56" s="1">
        <v>0.45600000000000002</v>
      </c>
      <c r="C56" s="1">
        <v>11.92</v>
      </c>
      <c r="D56" s="1">
        <v>0.72</v>
      </c>
      <c r="E56" s="1">
        <v>8.92</v>
      </c>
      <c r="F56" s="1">
        <f t="shared" si="3"/>
        <v>6.4223999999999997</v>
      </c>
      <c r="G56" s="1">
        <f t="shared" si="4"/>
        <v>5.4355200000000004</v>
      </c>
      <c r="H56" s="1">
        <f t="shared" si="5"/>
        <v>84.633781763826619</v>
      </c>
    </row>
    <row r="57" spans="2:8" x14ac:dyDescent="0.3">
      <c r="B57" s="1">
        <v>0.50600000000000001</v>
      </c>
      <c r="C57" s="1">
        <v>11.91</v>
      </c>
      <c r="D57" s="1">
        <v>0.79800000000000004</v>
      </c>
      <c r="E57" s="1">
        <v>8.9</v>
      </c>
      <c r="F57" s="1">
        <f t="shared" si="3"/>
        <v>7.1022000000000007</v>
      </c>
      <c r="G57" s="1">
        <f t="shared" si="4"/>
        <v>6.0264600000000002</v>
      </c>
      <c r="H57" s="1">
        <f t="shared" si="5"/>
        <v>84.853425699079153</v>
      </c>
    </row>
    <row r="58" spans="2:8" x14ac:dyDescent="0.3">
      <c r="B58" s="1">
        <v>0.55600000000000005</v>
      </c>
      <c r="C58" s="1">
        <v>11.91</v>
      </c>
      <c r="D58" s="1">
        <v>0.877</v>
      </c>
      <c r="E58" s="1">
        <v>8.89</v>
      </c>
      <c r="F58" s="1">
        <f t="shared" si="3"/>
        <v>7.7965300000000006</v>
      </c>
      <c r="G58" s="1">
        <f t="shared" si="4"/>
        <v>6.6219600000000005</v>
      </c>
      <c r="H58" s="1">
        <f t="shared" si="5"/>
        <v>84.934708132977107</v>
      </c>
    </row>
    <row r="59" spans="2:8" x14ac:dyDescent="0.3">
      <c r="B59" s="1">
        <v>0.61199999999999999</v>
      </c>
      <c r="C59" s="1">
        <v>11.9</v>
      </c>
      <c r="D59" s="1">
        <v>0.96399999999999997</v>
      </c>
      <c r="E59" s="1">
        <v>8.8699999999999992</v>
      </c>
      <c r="F59" s="1">
        <f t="shared" si="3"/>
        <v>8.5506799999999998</v>
      </c>
      <c r="G59" s="1">
        <f t="shared" si="4"/>
        <v>7.2827999999999999</v>
      </c>
      <c r="H59" s="1">
        <f t="shared" si="5"/>
        <v>85.172173441176611</v>
      </c>
    </row>
    <row r="60" spans="2:8" x14ac:dyDescent="0.3">
      <c r="B60" s="1">
        <v>0.70099999999999996</v>
      </c>
      <c r="C60" s="1">
        <v>11.89</v>
      </c>
      <c r="D60" s="1">
        <v>1.1100000000000001</v>
      </c>
      <c r="E60" s="1">
        <v>8.81</v>
      </c>
      <c r="F60" s="1">
        <f t="shared" si="3"/>
        <v>9.7791000000000015</v>
      </c>
      <c r="G60" s="1">
        <f t="shared" si="4"/>
        <v>8.3348899999999997</v>
      </c>
      <c r="H60" s="1">
        <f t="shared" si="5"/>
        <v>85.231667535867288</v>
      </c>
    </row>
    <row r="61" spans="2:8" x14ac:dyDescent="0.3">
      <c r="B61" s="1">
        <v>0.80100000000000005</v>
      </c>
      <c r="C61" s="1">
        <v>11.88</v>
      </c>
      <c r="D61" s="1">
        <v>1.2749999999999999</v>
      </c>
      <c r="E61" s="1">
        <v>8.7899999999999991</v>
      </c>
      <c r="F61" s="1">
        <f t="shared" si="3"/>
        <v>11.207249999999998</v>
      </c>
      <c r="G61" s="1">
        <f t="shared" si="4"/>
        <v>9.515880000000001</v>
      </c>
      <c r="H61" s="1">
        <f t="shared" si="5"/>
        <v>84.908251355149588</v>
      </c>
    </row>
    <row r="62" spans="2:8" x14ac:dyDescent="0.3">
      <c r="B62" s="1">
        <v>0.9</v>
      </c>
      <c r="C62" s="1">
        <v>11.87</v>
      </c>
      <c r="D62" s="1">
        <v>1.4359999999999999</v>
      </c>
      <c r="E62" s="1">
        <v>8.7899999999999991</v>
      </c>
      <c r="F62" s="1">
        <f t="shared" si="3"/>
        <v>12.622439999999997</v>
      </c>
      <c r="G62" s="1">
        <f t="shared" si="4"/>
        <v>10.683</v>
      </c>
      <c r="H62" s="1">
        <f t="shared" si="5"/>
        <v>84.634983410497512</v>
      </c>
    </row>
    <row r="63" spans="2:8" x14ac:dyDescent="0.3">
      <c r="B63" s="1">
        <v>1.0899000000000001</v>
      </c>
      <c r="C63" s="1">
        <v>11.85</v>
      </c>
      <c r="D63" s="1">
        <v>1.766</v>
      </c>
      <c r="E63" s="1">
        <v>8.73</v>
      </c>
      <c r="F63" s="1">
        <f t="shared" si="3"/>
        <v>15.41718</v>
      </c>
      <c r="G63" s="1">
        <f t="shared" si="4"/>
        <v>12.915315000000001</v>
      </c>
      <c r="H63" s="1">
        <f t="shared" si="5"/>
        <v>83.772226827474299</v>
      </c>
    </row>
    <row r="64" spans="2:8" x14ac:dyDescent="0.3">
      <c r="B64" s="1">
        <v>1.1240000000000001</v>
      </c>
      <c r="C64" s="1">
        <v>11.85</v>
      </c>
      <c r="D64" s="1">
        <v>1.8320000000000001</v>
      </c>
      <c r="E64" s="1">
        <v>8.73</v>
      </c>
      <c r="F64" s="1">
        <f t="shared" si="3"/>
        <v>15.993360000000001</v>
      </c>
      <c r="G64" s="1">
        <f t="shared" si="4"/>
        <v>13.319400000000002</v>
      </c>
      <c r="H64" s="1">
        <f t="shared" si="5"/>
        <v>83.280811536787766</v>
      </c>
    </row>
    <row r="65" spans="2:8" x14ac:dyDescent="0.3">
      <c r="B65">
        <v>1.2809999999999999</v>
      </c>
      <c r="C65">
        <v>11.83</v>
      </c>
      <c r="D65">
        <v>2.1030000000000002</v>
      </c>
      <c r="E65">
        <v>8.6999999999999993</v>
      </c>
      <c r="F65">
        <f t="shared" si="3"/>
        <v>18.296099999999999</v>
      </c>
      <c r="G65">
        <f t="shared" si="4"/>
        <v>15.154229999999998</v>
      </c>
      <c r="H65">
        <f t="shared" si="5"/>
        <v>82.827651794644751</v>
      </c>
    </row>
    <row r="66" spans="2:8" x14ac:dyDescent="0.3">
      <c r="B66">
        <v>1.4419999999999999</v>
      </c>
      <c r="C66">
        <v>11.82</v>
      </c>
      <c r="D66">
        <v>2.4350000000000001</v>
      </c>
      <c r="E66">
        <v>8.6199999999999992</v>
      </c>
      <c r="F66">
        <f t="shared" si="3"/>
        <v>20.989699999999999</v>
      </c>
      <c r="G66">
        <f t="shared" si="4"/>
        <v>17.044439999999998</v>
      </c>
      <c r="H66">
        <f t="shared" si="5"/>
        <v>81.203828544476579</v>
      </c>
    </row>
    <row r="67" spans="2:8" x14ac:dyDescent="0.3">
      <c r="B67" t="s">
        <v>24</v>
      </c>
    </row>
    <row r="69" spans="2:8" x14ac:dyDescent="0.3">
      <c r="B69" t="s">
        <v>27</v>
      </c>
    </row>
    <row r="70" spans="2:8" x14ac:dyDescent="0.3">
      <c r="B70" t="s">
        <v>20</v>
      </c>
      <c r="C70" t="s">
        <v>21</v>
      </c>
      <c r="D70" t="s">
        <v>22</v>
      </c>
      <c r="E70" t="s">
        <v>23</v>
      </c>
      <c r="F70" t="s">
        <v>25</v>
      </c>
      <c r="G70" t="s">
        <v>26</v>
      </c>
      <c r="H70" t="s">
        <v>16</v>
      </c>
    </row>
    <row r="71" spans="2:8" x14ac:dyDescent="0.3">
      <c r="B71">
        <v>0.10199999999999999</v>
      </c>
      <c r="C71">
        <v>11.96</v>
      </c>
      <c r="D71">
        <v>0.112</v>
      </c>
      <c r="E71">
        <v>18.010000000000002</v>
      </c>
      <c r="F71">
        <f>D71*E71</f>
        <v>2.0171200000000002</v>
      </c>
      <c r="G71">
        <f>B71*C71</f>
        <v>1.2199200000000001</v>
      </c>
      <c r="H71">
        <f>G71/F71*100</f>
        <v>60.478305703180766</v>
      </c>
    </row>
    <row r="72" spans="2:8" x14ac:dyDescent="0.3">
      <c r="B72">
        <v>0.20100000000000001</v>
      </c>
      <c r="C72">
        <v>11.94</v>
      </c>
      <c r="D72">
        <v>0.192</v>
      </c>
      <c r="E72">
        <v>17.989999999999998</v>
      </c>
      <c r="F72">
        <f t="shared" ref="F72:F83" si="6">D72*E72</f>
        <v>3.4540799999999998</v>
      </c>
      <c r="G72">
        <f t="shared" ref="G72:G83" si="7">B72*C72</f>
        <v>2.39994</v>
      </c>
      <c r="H72">
        <f t="shared" ref="H72:H83" si="8">G72/F72*100</f>
        <v>69.481309060589211</v>
      </c>
    </row>
    <row r="73" spans="2:8" x14ac:dyDescent="0.3">
      <c r="B73">
        <v>0.30499999999999999</v>
      </c>
      <c r="C73">
        <v>11.93</v>
      </c>
      <c r="D73">
        <v>0.26600000000000001</v>
      </c>
      <c r="E73">
        <v>17.98</v>
      </c>
      <c r="F73">
        <f t="shared" si="6"/>
        <v>4.78268</v>
      </c>
      <c r="G73">
        <f t="shared" si="7"/>
        <v>3.6386499999999997</v>
      </c>
      <c r="H73">
        <f t="shared" si="8"/>
        <v>76.079729356762314</v>
      </c>
    </row>
    <row r="74" spans="2:8" x14ac:dyDescent="0.3">
      <c r="B74">
        <v>0.40300000000000002</v>
      </c>
      <c r="C74">
        <v>11.92</v>
      </c>
      <c r="D74">
        <v>0.33800000000000002</v>
      </c>
      <c r="E74">
        <v>17.98</v>
      </c>
      <c r="F74">
        <f t="shared" si="6"/>
        <v>6.0772400000000006</v>
      </c>
      <c r="G74">
        <f t="shared" si="7"/>
        <v>4.8037600000000005</v>
      </c>
      <c r="H74">
        <f t="shared" si="8"/>
        <v>79.045092838196283</v>
      </c>
    </row>
    <row r="75" spans="2:8" x14ac:dyDescent="0.3">
      <c r="B75">
        <v>0.502</v>
      </c>
      <c r="C75">
        <v>11.9</v>
      </c>
      <c r="D75">
        <v>0.41</v>
      </c>
      <c r="E75">
        <v>17.95</v>
      </c>
      <c r="F75">
        <f t="shared" si="6"/>
        <v>7.3594999999999997</v>
      </c>
      <c r="G75">
        <f t="shared" si="7"/>
        <v>5.9737999999999998</v>
      </c>
      <c r="H75">
        <f t="shared" si="8"/>
        <v>81.171275222501521</v>
      </c>
    </row>
    <row r="76" spans="2:8" x14ac:dyDescent="0.3">
      <c r="B76">
        <v>0.60899999999999999</v>
      </c>
      <c r="C76">
        <v>11.89</v>
      </c>
      <c r="D76">
        <v>0.48899999999999999</v>
      </c>
      <c r="E76">
        <v>17.93</v>
      </c>
      <c r="F76">
        <f t="shared" si="6"/>
        <v>8.7677700000000005</v>
      </c>
      <c r="G76">
        <f t="shared" si="7"/>
        <v>7.2410100000000002</v>
      </c>
      <c r="H76">
        <f t="shared" si="8"/>
        <v>82.586678254561875</v>
      </c>
    </row>
    <row r="77" spans="2:8" x14ac:dyDescent="0.3">
      <c r="B77">
        <v>0.70099999999999996</v>
      </c>
      <c r="C77">
        <v>11.88</v>
      </c>
      <c r="D77">
        <v>0.55800000000000005</v>
      </c>
      <c r="E77">
        <v>17.91</v>
      </c>
      <c r="F77">
        <f t="shared" si="6"/>
        <v>9.993780000000001</v>
      </c>
      <c r="G77">
        <f t="shared" si="7"/>
        <v>8.3278800000000004</v>
      </c>
      <c r="H77">
        <f t="shared" si="8"/>
        <v>83.330631652888087</v>
      </c>
    </row>
    <row r="78" spans="2:8" x14ac:dyDescent="0.3">
      <c r="B78">
        <v>0.80900000000000005</v>
      </c>
      <c r="C78">
        <v>11.86</v>
      </c>
      <c r="D78">
        <v>0.64100000000000001</v>
      </c>
      <c r="E78">
        <v>17.87</v>
      </c>
      <c r="F78">
        <f t="shared" si="6"/>
        <v>11.45467</v>
      </c>
      <c r="G78">
        <f t="shared" si="7"/>
        <v>9.5947399999999998</v>
      </c>
      <c r="H78">
        <f t="shared" si="8"/>
        <v>83.762692421518906</v>
      </c>
    </row>
    <row r="79" spans="2:8" x14ac:dyDescent="0.3">
      <c r="B79">
        <v>0.90700000000000003</v>
      </c>
      <c r="C79">
        <v>11.84</v>
      </c>
      <c r="D79">
        <v>0.71699999999999997</v>
      </c>
      <c r="E79">
        <v>17.84</v>
      </c>
      <c r="F79">
        <f t="shared" si="6"/>
        <v>12.791279999999999</v>
      </c>
      <c r="G79">
        <f t="shared" si="7"/>
        <v>10.73888</v>
      </c>
      <c r="H79">
        <f t="shared" si="8"/>
        <v>83.954694135379739</v>
      </c>
    </row>
    <row r="80" spans="2:8" x14ac:dyDescent="0.3">
      <c r="B80">
        <v>1.022</v>
      </c>
      <c r="C80">
        <v>11.81</v>
      </c>
      <c r="D80">
        <v>0.81200000000000006</v>
      </c>
      <c r="E80">
        <v>17.72</v>
      </c>
      <c r="F80">
        <f t="shared" si="6"/>
        <v>14.388640000000001</v>
      </c>
      <c r="G80">
        <f t="shared" si="7"/>
        <v>12.06982</v>
      </c>
      <c r="H80">
        <f t="shared" si="8"/>
        <v>83.88436989180353</v>
      </c>
    </row>
    <row r="81" spans="2:8" x14ac:dyDescent="0.3">
      <c r="B81">
        <v>1.1259999999999999</v>
      </c>
      <c r="C81">
        <v>11.78</v>
      </c>
      <c r="D81">
        <v>0.89500000000000002</v>
      </c>
      <c r="E81">
        <v>17.739999999999998</v>
      </c>
      <c r="F81">
        <f t="shared" si="6"/>
        <v>15.877299999999998</v>
      </c>
      <c r="G81">
        <f t="shared" si="7"/>
        <v>13.264279999999998</v>
      </c>
      <c r="H81">
        <f t="shared" si="8"/>
        <v>83.542415901948061</v>
      </c>
    </row>
    <row r="82" spans="2:8" x14ac:dyDescent="0.3">
      <c r="B82">
        <v>1.2030000000000001</v>
      </c>
      <c r="C82">
        <v>11.78</v>
      </c>
      <c r="D82">
        <v>0.95699999999999996</v>
      </c>
      <c r="E82">
        <v>17.739999999999998</v>
      </c>
      <c r="F82">
        <f t="shared" si="6"/>
        <v>16.977179999999997</v>
      </c>
      <c r="G82">
        <f t="shared" si="7"/>
        <v>14.171340000000001</v>
      </c>
      <c r="H82">
        <f t="shared" si="8"/>
        <v>83.472873586779457</v>
      </c>
    </row>
    <row r="83" spans="2:8" x14ac:dyDescent="0.3">
      <c r="B83">
        <v>1.3340000000000001</v>
      </c>
      <c r="C83">
        <v>11.76</v>
      </c>
      <c r="D83">
        <v>1.0620000000000001</v>
      </c>
      <c r="E83">
        <v>17.739999999999998</v>
      </c>
      <c r="F83">
        <f t="shared" si="6"/>
        <v>18.839880000000001</v>
      </c>
      <c r="G83">
        <f t="shared" si="7"/>
        <v>15.687840000000001</v>
      </c>
      <c r="H83">
        <f t="shared" si="8"/>
        <v>83.269320186752779</v>
      </c>
    </row>
    <row r="89" spans="2:8" x14ac:dyDescent="0.3">
      <c r="B89" t="s">
        <v>24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dcterms:created xsi:type="dcterms:W3CDTF">2026-04-14T06:33:51Z</dcterms:created>
  <dcterms:modified xsi:type="dcterms:W3CDTF">2026-05-07T21:57:27Z</dcterms:modified>
</cp:coreProperties>
</file>