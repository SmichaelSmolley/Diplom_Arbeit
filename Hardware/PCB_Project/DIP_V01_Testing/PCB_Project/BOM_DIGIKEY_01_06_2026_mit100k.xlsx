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a\Documents\Messung_von_Quanteneffecten_in_MOSFETs\Diplom_Arbeit\Hardware\PCB_Project\DIP_V01_Testing\PCB_Project\"/>
    </mc:Choice>
  </mc:AlternateContent>
  <xr:revisionPtr revIDLastSave="0" documentId="8_{AD1F8151-22B7-44CB-80AB-03949492FE94}" xr6:coauthVersionLast="47" xr6:coauthVersionMax="47" xr10:uidLastSave="{00000000-0000-0000-0000-000000000000}"/>
  <bookViews>
    <workbookView xWindow="-108" yWindow="-108" windowWidth="30936" windowHeight="16776" tabRatio="712" xr2:uid="{00000000-000D-0000-FFFF-FFFF00000000}"/>
  </bookViews>
  <sheets>
    <sheet name="Muster" sheetId="8" r:id="rId1"/>
  </sheet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8" l="1"/>
  <c r="J9" i="8"/>
  <c r="J10" i="8"/>
  <c r="J11" i="8"/>
  <c r="J12" i="8"/>
  <c r="J13" i="8"/>
  <c r="J14" i="8"/>
  <c r="J15" i="8"/>
  <c r="J16" i="8"/>
  <c r="J17" i="8"/>
  <c r="J18" i="8"/>
  <c r="J19" i="8"/>
  <c r="L19" i="8" s="1"/>
  <c r="M19" i="8" s="1"/>
  <c r="J20" i="8"/>
  <c r="J21" i="8"/>
  <c r="J22" i="8"/>
  <c r="L22" i="8" s="1"/>
  <c r="J23" i="8"/>
  <c r="J24" i="8"/>
  <c r="J25" i="8"/>
  <c r="J26" i="8"/>
  <c r="J27" i="8"/>
  <c r="J28" i="8"/>
  <c r="J29" i="8"/>
  <c r="J7" i="8"/>
  <c r="L7" i="8" s="1"/>
  <c r="J6" i="8"/>
  <c r="G7" i="8"/>
  <c r="K7" i="8" s="1"/>
  <c r="G8" i="8"/>
  <c r="K8" i="8" s="1"/>
  <c r="G9" i="8"/>
  <c r="K9" i="8" s="1"/>
  <c r="G10" i="8"/>
  <c r="K10" i="8" s="1"/>
  <c r="G11" i="8"/>
  <c r="K11" i="8" s="1"/>
  <c r="G12" i="8"/>
  <c r="K12" i="8" s="1"/>
  <c r="G13" i="8"/>
  <c r="K13" i="8" s="1"/>
  <c r="G14" i="8"/>
  <c r="K14" i="8" s="1"/>
  <c r="G15" i="8"/>
  <c r="K15" i="8" s="1"/>
  <c r="G16" i="8"/>
  <c r="K16" i="8" s="1"/>
  <c r="G17" i="8"/>
  <c r="K17" i="8" s="1"/>
  <c r="G18" i="8"/>
  <c r="K18" i="8" s="1"/>
  <c r="G19" i="8"/>
  <c r="K19" i="8" s="1"/>
  <c r="G20" i="8"/>
  <c r="K20" i="8" s="1"/>
  <c r="G21" i="8"/>
  <c r="K21" i="8" s="1"/>
  <c r="G22" i="8"/>
  <c r="K22" i="8" s="1"/>
  <c r="G23" i="8"/>
  <c r="K23" i="8" s="1"/>
  <c r="G24" i="8"/>
  <c r="K24" i="8" s="1"/>
  <c r="G25" i="8"/>
  <c r="K25" i="8" s="1"/>
  <c r="G26" i="8"/>
  <c r="K26" i="8" s="1"/>
  <c r="G27" i="8"/>
  <c r="K27" i="8" s="1"/>
  <c r="G28" i="8"/>
  <c r="K28" i="8" s="1"/>
  <c r="G29" i="8"/>
  <c r="K29" i="8" s="1"/>
  <c r="G6" i="8"/>
  <c r="K6" i="8" s="1"/>
  <c r="L17" i="8" l="1"/>
  <c r="M17" i="8" s="1"/>
  <c r="L16" i="8"/>
  <c r="M16" i="8" s="1"/>
  <c r="L27" i="8"/>
  <c r="M27" i="8" s="1"/>
  <c r="L25" i="8"/>
  <c r="M25" i="8" s="1"/>
  <c r="L12" i="8"/>
  <c r="M12" i="8" s="1"/>
  <c r="L13" i="8"/>
  <c r="M13" i="8" s="1"/>
  <c r="L10" i="8"/>
  <c r="M10" i="8" s="1"/>
  <c r="L9" i="8"/>
  <c r="M9" i="8" s="1"/>
  <c r="L21" i="8"/>
  <c r="M21" i="8" s="1"/>
  <c r="L20" i="8"/>
  <c r="M20" i="8" s="1"/>
  <c r="L8" i="8"/>
  <c r="M8" i="8" s="1"/>
  <c r="L29" i="8"/>
  <c r="M29" i="8" s="1"/>
  <c r="L18" i="8"/>
  <c r="M18" i="8" s="1"/>
  <c r="L28" i="8"/>
  <c r="M28" i="8" s="1"/>
  <c r="L6" i="8"/>
  <c r="M6" i="8" s="1"/>
  <c r="L26" i="8"/>
  <c r="M26" i="8" s="1"/>
  <c r="L15" i="8"/>
  <c r="M15" i="8" s="1"/>
  <c r="L24" i="8"/>
  <c r="M24" i="8" s="1"/>
  <c r="L23" i="8"/>
  <c r="M23" i="8" s="1"/>
  <c r="L11" i="8"/>
  <c r="M11" i="8" s="1"/>
  <c r="L14" i="8"/>
  <c r="M14" i="8" s="1"/>
  <c r="M22" i="8"/>
  <c r="M7" i="8"/>
  <c r="M30" i="8" l="1"/>
</calcChain>
</file>

<file path=xl/sharedStrings.xml><?xml version="1.0" encoding="utf-8"?>
<sst xmlns="http://schemas.openxmlformats.org/spreadsheetml/2006/main" count="102" uniqueCount="97">
  <si>
    <t>HTL-Hollabrunn</t>
  </si>
  <si>
    <t>Projektname:</t>
  </si>
  <si>
    <t>Firma:</t>
  </si>
  <si>
    <t>Datum:</t>
  </si>
  <si>
    <t>Materialbestellung</t>
  </si>
  <si>
    <t>Bauteilinformation
Name</t>
  </si>
  <si>
    <t>Preis/Stück</t>
  </si>
  <si>
    <t>Preis/VPE</t>
  </si>
  <si>
    <t>Gesamt</t>
  </si>
  <si>
    <t>Bestellnr.</t>
  </si>
  <si>
    <t>benötigte
Stückzahl</t>
  </si>
  <si>
    <t>Stück/
VPE</t>
  </si>
  <si>
    <t>Anzahl VPE</t>
  </si>
  <si>
    <t>exkl. MWSt</t>
  </si>
  <si>
    <t>inkl. MWSt</t>
  </si>
  <si>
    <r>
      <rPr>
        <b/>
        <sz val="11"/>
        <color theme="1"/>
        <rFont val="Arial"/>
        <family val="2"/>
      </rPr>
      <t>Schüler:</t>
    </r>
    <r>
      <rPr>
        <sz val="11"/>
        <color theme="1"/>
        <rFont val="Arial"/>
        <family val="2"/>
      </rPr>
      <t xml:space="preserve"> …........................................................</t>
    </r>
  </si>
  <si>
    <r>
      <rPr>
        <b/>
        <sz val="11"/>
        <color theme="1"/>
        <rFont val="Arial"/>
        <family val="2"/>
      </rPr>
      <t>Projektleiter:</t>
    </r>
    <r>
      <rPr>
        <sz val="11"/>
        <color theme="1"/>
        <rFont val="Arial"/>
        <family val="2"/>
      </rPr>
      <t xml:space="preserve"> …........................................................</t>
    </r>
  </si>
  <si>
    <t>Lehrerkürzel:</t>
  </si>
  <si>
    <t>Summe:</t>
  </si>
  <si>
    <t xml:space="preserve">                               Unterschrift</t>
  </si>
  <si>
    <t>Projektnummer: 10313</t>
  </si>
  <si>
    <t>Klasse: 4AHEL</t>
  </si>
  <si>
    <t>Antragsteller: Michael Watzek</t>
  </si>
  <si>
    <t>ADFET</t>
  </si>
  <si>
    <t>digikey</t>
  </si>
  <si>
    <t>1N4148W-7 Diode SDO123_DIO</t>
  </si>
  <si>
    <t>BNC Elbow Connector</t>
  </si>
  <si>
    <t>Y0062100K000T9L Prezision 100k Resistor</t>
  </si>
  <si>
    <t>LT3042EMSE#TRPBF Ultralow Noise LDO 200mA</t>
  </si>
  <si>
    <t>LT3094EMSE#TRPBF Ultralow Noise LDO 500mA Negative</t>
  </si>
  <si>
    <t>AD5689RBRUZ Dual 16-Bit DAC</t>
  </si>
  <si>
    <t>OPA197IDBVR Single precisiopn rail-to-rail low offset OPV</t>
  </si>
  <si>
    <t>TLV76733DGNR 1A 3,3V LDO</t>
  </si>
  <si>
    <t>22pF Capacitor Keramik 1206 low ESR low ESL C0G/NP0</t>
  </si>
  <si>
    <t>https://www.digikey.at/de/products/detail/kemet/C1206C104J5RACTU/411249</t>
  </si>
  <si>
    <t>399-C1206C220J2GACTUCT-ND</t>
  </si>
  <si>
    <t>https://www.digikey.at/de/products/detail/kemet/C1206C220J2GACTU/2215424</t>
  </si>
  <si>
    <t>399-C1206C104J5RACTUCT-ND</t>
  </si>
  <si>
    <t>399-C1206C106K4RACTUCT-ND</t>
  </si>
  <si>
    <t>https://www.digikey.at/de/products/detail/kemet/C1206C106K4RACTU/789657</t>
  </si>
  <si>
    <t>399-C1206C475K5RACTUCT-ND</t>
  </si>
  <si>
    <t>https://www.digikey.at/de/products/detail/kemet/C1206C475K5RACTU/5119822</t>
  </si>
  <si>
    <t>https://www.digikey.at/de/products/detail/kemet/C1206C105K3RACTU/411254</t>
  </si>
  <si>
    <t>399-C1206C105K3RACTUCT-ND</t>
  </si>
  <si>
    <t>1N4148W-FDICT-ND</t>
  </si>
  <si>
    <t>https://www.digikey.at/de/products/detail/diodes-incorporated/1N4148W-7-F/814371</t>
  </si>
  <si>
    <t>https://www.digikey.at/de/products/detail/yageo/RT1206BRD0710KL/1079472</t>
  </si>
  <si>
    <t>YAG2329CT-ND</t>
  </si>
  <si>
    <t>YAG5107CT-ND</t>
  </si>
  <si>
    <t>https://www.digikey.at/de/products/detail/yageo/RT1206BRE0733KL/1080313</t>
  </si>
  <si>
    <t>P78.7KBCCT-ND</t>
  </si>
  <si>
    <t>https://www.digikey.at/de/products/detail/panasonic-industry/ERA-8AEB7872V/3071174</t>
  </si>
  <si>
    <t>1k Resistor SMD 1206 1%</t>
  </si>
  <si>
    <t>0 Resistor SMD 1206 Dünnschicht</t>
  </si>
  <si>
    <t>78.7k Resistor SMD 1206 Dünnschicht 0,1%</t>
  </si>
  <si>
    <t>13-RT1206FRE074K7LCT-ND</t>
  </si>
  <si>
    <t>https://www.digikey.at/de/products/detail/yageo/RT1206FRE074K7L/1083255</t>
  </si>
  <si>
    <t>RNCP1206FTD1K00CT-ND</t>
  </si>
  <si>
    <t>https://www.digikey.at/de/products/detail/stackpole-electronics-inc/RNCP1206FTD1K00/2240337</t>
  </si>
  <si>
    <t>https://www.digikey.at/de/products/detail/vishay/MCA12060Z0000ZP500/26633624</t>
  </si>
  <si>
    <t>749-MCA12060Z0000ZP500CT-ND</t>
  </si>
  <si>
    <t>https://www.digikey.at/de/products/detail/yageo/RT1206FRE073K9L/1083196</t>
  </si>
  <si>
    <t>13-RT1206FRE073K9LCT-ND</t>
  </si>
  <si>
    <t>13-RT1206FRE072K7LCT-ND</t>
  </si>
  <si>
    <t>https://www.digikey.at/de/products/detail/yageo/RT1206FRE072K7L/1083113</t>
  </si>
  <si>
    <t>YAG2053CT-ND</t>
  </si>
  <si>
    <t>https://www.digikey.at/de/products/detail/yageo/RT1206BRD0749K9L/1079848</t>
  </si>
  <si>
    <t>Y0062-100KA-ND</t>
  </si>
  <si>
    <t>https://www.digikey.at/de/products/detail/vpg-foil-resistors/Y0062100K000T9L/2609881?s=N4IgTCBcDaIJoAYEDYwEYkGkkICoE4AZEAXQF8g</t>
  </si>
  <si>
    <t>LT3042EMSE#TRPBFCT-ND</t>
  </si>
  <si>
    <t>505-LT3094EMSE#TRPBFCT-ND</t>
  </si>
  <si>
    <t>https://www.digikey.at/de/products/detail/analog-devices-inc/LT3094EMSE-TRPBF/9606784?s=N4IgTCBcDaIDIBUDMAGAnAFgKIFkDKWAxAgEoAKAQgGIgC6AvkA</t>
  </si>
  <si>
    <t>296-47813-1-ND</t>
  </si>
  <si>
    <t>https://www.digikey.at/de/products/detail/texas-instruments/OPA197IDBVR/5962128?s=N4IgTCBcDaIPIAUCCBGAnAdgJIBEBCAagEogC6AvkA</t>
  </si>
  <si>
    <t>296-TLV76733DGNRCT-ND</t>
  </si>
  <si>
    <t>https://www.digikey.at/de/products/detail/texas-instruments/TLV76733DGNR/15856577?s=N4IgTCBcDaICoBkBqB2AbCgzJgIgcQDkAlEAXQF8g</t>
  </si>
  <si>
    <t>505-AD5689RBRUZ-ND</t>
  </si>
  <si>
    <t>https://www.digikey.at/de/products/detail/analog-devices-inc/AD5689RBRUZ/3925751</t>
  </si>
  <si>
    <t>https://www.digikey.at/de/products/detail/analog-devices-inc/LT3042EMSE-TRPBF/5233182?s=N4IgTCBcDaIDIBUDMAGALGAogWQMqYGIEAlABQCEAxEAXQF8g</t>
  </si>
  <si>
    <t>175-DS28E07+TCT-ND</t>
  </si>
  <si>
    <t>DS28E07R+T 1-Wire EEPROM</t>
  </si>
  <si>
    <t>https://www.digikey.at/de/products/detail/analog-devices-inc-maxim-integrated/DS28E07-T/5396363?s=N4IgTCBcDaICIGUwA4CiAGA7AagCogF0BfIA</t>
  </si>
  <si>
    <t>2N7002DW Dual Mosfet</t>
  </si>
  <si>
    <t>2N7002DWCT-ND</t>
  </si>
  <si>
    <t>https://www.digikey.at/de/products/detail/onsemi/2N7002DW/1785764</t>
  </si>
  <si>
    <t>https://www.digikey.at/de/products/detail/te-connectivity-linx/CONBNC002/16013841</t>
  </si>
  <si>
    <t>343-CONBNC002-ND</t>
  </si>
  <si>
    <t>49.9k Resistor SMD 1206 0,1% Dünnschicht</t>
  </si>
  <si>
    <t>CAP CER 0.1UF 50V X7R 1206</t>
  </si>
  <si>
    <t>CAP CER 10UF 16V X7R 1206 low ESL low ESR</t>
  </si>
  <si>
    <t>CAP CER 4.7UF 50V X7R 1206</t>
  </si>
  <si>
    <t>CAP CER 1UF 25V X7R 1206</t>
  </si>
  <si>
    <t>RES SMD 10K OHM 0.1% 1/4W 1206</t>
  </si>
  <si>
    <t>RES SMD 33K OHM 0.1% 1/4W 1206</t>
  </si>
  <si>
    <t>RES SMD 4.7K OHM 1% 1/4W 1206</t>
  </si>
  <si>
    <t>RES SMD 3.9K OHM 1% 1/4W 1206</t>
  </si>
  <si>
    <t>RES SMD 2.7K OHM 1% 1/4W 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</si>
</sst>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€-2]\ #,##0.00"/>
  </numFmts>
  <fonts count="1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10"/>
      <color theme="1"/>
      <name val="Arial"/>
    </font>
    <font>
      <u/>
      <sz val="11"/>
      <color theme="10"/>
      <name val="Calibri"/>
      <family val="2"/>
      <scheme val="minor"/>
    </font>
    <font>
      <sz val="10"/>
      <color rgb="FF0F11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85">
    <xf numFmtId="0" fontId="0" fillId="0" borderId="0" xfId="0"/>
    <xf numFmtId="0" fontId="3" fillId="0" borderId="14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164" fontId="8" fillId="0" borderId="6" xfId="0" applyNumberFormat="1" applyFont="1" applyBorder="1" applyAlignment="1">
      <alignment horizontal="right" vertical="center"/>
    </xf>
    <xf numFmtId="164" fontId="8" fillId="0" borderId="15" xfId="0" applyNumberFormat="1" applyFont="1" applyBorder="1" applyAlignment="1">
      <alignment horizontal="right" vertical="center"/>
    </xf>
    <xf numFmtId="164" fontId="7" fillId="0" borderId="16" xfId="0" applyNumberFormat="1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1" fillId="0" borderId="0" xfId="1"/>
    <xf numFmtId="164" fontId="7" fillId="2" borderId="25" xfId="0" applyNumberFormat="1" applyFont="1" applyFill="1" applyBorder="1" applyAlignment="1">
      <alignment vertical="center"/>
    </xf>
    <xf numFmtId="164" fontId="7" fillId="2" borderId="26" xfId="0" applyNumberFormat="1" applyFont="1" applyFill="1" applyBorder="1" applyAlignment="1">
      <alignment vertical="center"/>
    </xf>
    <xf numFmtId="164" fontId="7" fillId="2" borderId="15" xfId="0" applyNumberFormat="1" applyFont="1" applyFill="1" applyBorder="1" applyAlignment="1">
      <alignment vertical="center"/>
    </xf>
    <xf numFmtId="0" fontId="9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7" fillId="0" borderId="25" xfId="0" applyNumberFormat="1" applyFont="1" applyBorder="1" applyAlignment="1">
      <alignment vertical="center"/>
    </xf>
    <xf numFmtId="164" fontId="7" fillId="0" borderId="15" xfId="0" applyNumberFormat="1" applyFont="1" applyBorder="1" applyAlignment="1">
      <alignment vertical="center"/>
    </xf>
    <xf numFmtId="165" fontId="5" fillId="0" borderId="12" xfId="0" applyNumberFormat="1" applyFont="1" applyBorder="1" applyAlignment="1">
      <alignment horizontal="center" vertical="center"/>
    </xf>
    <xf numFmtId="165" fontId="5" fillId="0" borderId="10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7" fillId="2" borderId="25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7" fillId="2" borderId="16" xfId="0" applyFont="1" applyFill="1" applyBorder="1" applyAlignment="1">
      <alignment vertical="center"/>
    </xf>
    <xf numFmtId="0" fontId="1" fillId="0" borderId="11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5" fillId="0" borderId="11" xfId="0" applyFont="1" applyBorder="1"/>
    <xf numFmtId="0" fontId="5" fillId="0" borderId="8" xfId="0" applyFont="1" applyBorder="1"/>
    <xf numFmtId="0" fontId="5" fillId="0" borderId="12" xfId="0" applyFont="1" applyBorder="1"/>
    <xf numFmtId="0" fontId="5" fillId="0" borderId="9" xfId="0" applyFont="1" applyBorder="1"/>
    <xf numFmtId="0" fontId="5" fillId="0" borderId="0" xfId="0" applyFont="1"/>
    <xf numFmtId="0" fontId="5" fillId="0" borderId="10" xfId="0" applyFont="1" applyBorder="1"/>
    <xf numFmtId="0" fontId="7" fillId="0" borderId="25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3" fillId="0" borderId="11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12" fillId="3" borderId="25" xfId="0" applyFont="1" applyFill="1" applyBorder="1" applyAlignment="1">
      <alignment vertical="center" wrapText="1"/>
    </xf>
    <xf numFmtId="0" fontId="10" fillId="0" borderId="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7" fillId="2" borderId="25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7" fillId="2" borderId="16" xfId="0" applyFont="1" applyFill="1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6" fillId="0" borderId="11" xfId="0" applyFont="1" applyBorder="1"/>
    <xf numFmtId="0" fontId="5" fillId="0" borderId="9" xfId="0" applyFont="1" applyBorder="1" applyAlignment="1">
      <alignment vertical="center"/>
    </xf>
    <xf numFmtId="0" fontId="5" fillId="0" borderId="7" xfId="0" applyFont="1" applyBorder="1"/>
    <xf numFmtId="0" fontId="5" fillId="0" borderId="3" xfId="0" applyFont="1" applyBorder="1"/>
    <xf numFmtId="0" fontId="1" fillId="0" borderId="11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14" fontId="1" fillId="0" borderId="7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at/de/products/detail/panasonic-industry/ERA-8AEB7872V/3071174" TargetMode="External"/><Relationship Id="rId13" Type="http://schemas.openxmlformats.org/officeDocument/2006/relationships/hyperlink" Target="https://www.digikey.at/de/products/detail/yageo/RT1206FRE072K7L/1083113" TargetMode="External"/><Relationship Id="rId18" Type="http://schemas.openxmlformats.org/officeDocument/2006/relationships/hyperlink" Target="https://www.digikey.at/de/products/detail/texas-instruments/OPA197IDBVR/5962128?s=N4IgTCBcDaIPIAUCCBGAnAdgJIBEBCAagEogC6AvkA" TargetMode="External"/><Relationship Id="rId3" Type="http://schemas.openxmlformats.org/officeDocument/2006/relationships/hyperlink" Target="https://www.digikey.at/de/products/detail/kemet/C1206C475K5RACTU/5119822" TargetMode="External"/><Relationship Id="rId21" Type="http://schemas.openxmlformats.org/officeDocument/2006/relationships/hyperlink" Target="https://www.digikey.at/de/products/detail/analog-devices-inc-maxim-integrated/DS28E07-T/5396363?s=N4IgTCBcDaICIGUwA4CiAGA7AagCogF0BfIA" TargetMode="External"/><Relationship Id="rId7" Type="http://schemas.openxmlformats.org/officeDocument/2006/relationships/hyperlink" Target="https://www.digikey.at/de/products/detail/yageo/RT1206BRE0733KL/1080313" TargetMode="External"/><Relationship Id="rId12" Type="http://schemas.openxmlformats.org/officeDocument/2006/relationships/hyperlink" Target="https://www.digikey.at/de/products/detail/yageo/RT1206FRE073K9L/1083196" TargetMode="External"/><Relationship Id="rId17" Type="http://schemas.openxmlformats.org/officeDocument/2006/relationships/hyperlink" Target="https://www.digikey.at/de/products/detail/analog-devices-inc/LT3042EMSE-TRPBF/5233182?s=N4IgTCBcDaIDIBUDMAGALGAogWQMqYGIEAlABQCEAxEAXQF8g" TargetMode="External"/><Relationship Id="rId2" Type="http://schemas.openxmlformats.org/officeDocument/2006/relationships/hyperlink" Target="https://www.digikey.at/de/products/detail/kemet/C1206C106K4RACTU/789657" TargetMode="External"/><Relationship Id="rId16" Type="http://schemas.openxmlformats.org/officeDocument/2006/relationships/hyperlink" Target="https://www.digikey.at/de/products/detail/analog-devices-inc/LT3094EMSE-TRPBF/9606784?s=N4IgTCBcDaIDIBUDMAGAnAFgKIFkDKWAxAgEoAKAQgGIgC6AvkA" TargetMode="External"/><Relationship Id="rId20" Type="http://schemas.openxmlformats.org/officeDocument/2006/relationships/hyperlink" Target="https://www.digikey.at/de/products/detail/analog-devices-inc/AD5689RBRUZ/3925751" TargetMode="External"/><Relationship Id="rId1" Type="http://schemas.openxmlformats.org/officeDocument/2006/relationships/hyperlink" Target="https://www.digikey.at/de/products/detail/kemet/C1206C104J5RACTU/411249" TargetMode="External"/><Relationship Id="rId6" Type="http://schemas.openxmlformats.org/officeDocument/2006/relationships/hyperlink" Target="https://www.digikey.at/de/products/detail/yageo/RT1206BRD0710KL/1079472" TargetMode="External"/><Relationship Id="rId11" Type="http://schemas.openxmlformats.org/officeDocument/2006/relationships/hyperlink" Target="https://www.digikey.at/de/products/detail/yageo/RT1206FRE074K7L/1083255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www.digikey.at/de/products/detail/diodes-incorporated/1N4148W-7-F/814371" TargetMode="External"/><Relationship Id="rId15" Type="http://schemas.openxmlformats.org/officeDocument/2006/relationships/hyperlink" Target="https://www.digikey.at/de/products/detail/vpg-foil-resistors/Y0062100K000T9L/2609881?s=N4IgTCBcDaIJoAYEDYwEYkGkkICoE4AZEAXQF8g" TargetMode="External"/><Relationship Id="rId23" Type="http://schemas.openxmlformats.org/officeDocument/2006/relationships/hyperlink" Target="https://www.digikey.at/de/products/detail/te-connectivity-linx/CONBNC002/16013841" TargetMode="External"/><Relationship Id="rId10" Type="http://schemas.openxmlformats.org/officeDocument/2006/relationships/hyperlink" Target="https://www.digikey.at/de/products/detail/stackpole-electronics-inc/RNCP1206FTD1K00/2240337" TargetMode="External"/><Relationship Id="rId19" Type="http://schemas.openxmlformats.org/officeDocument/2006/relationships/hyperlink" Target="https://www.digikey.at/de/products/detail/texas-instruments/TLV76733DGNR/15856577?s=N4IgTCBcDaICoBkBqB2AbCgzJgIgcQDkAlEAXQF8g" TargetMode="External"/><Relationship Id="rId4" Type="http://schemas.openxmlformats.org/officeDocument/2006/relationships/hyperlink" Target="https://www.digikey.at/de/products/detail/kemet/C1206C105K3RACTU/411254" TargetMode="External"/><Relationship Id="rId9" Type="http://schemas.openxmlformats.org/officeDocument/2006/relationships/hyperlink" Target="https://www.digikey.at/de/products/detail/vishay/MCA12060Z0000ZP500/26633624" TargetMode="External"/><Relationship Id="rId14" Type="http://schemas.openxmlformats.org/officeDocument/2006/relationships/hyperlink" Target="https://www.digikey.at/de/products/detail/yageo/RT1206BRD0749K9L/1079848" TargetMode="External"/><Relationship Id="rId22" Type="http://schemas.openxmlformats.org/officeDocument/2006/relationships/hyperlink" Target="https://www.digikey.at/de/products/detail/onsemi/2N7002DW/17857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6"/>
  <sheetViews>
    <sheetView tabSelected="1" topLeftCell="A8" zoomScaleNormal="100" workbookViewId="0">
      <selection activeCell="A22" sqref="A22:M22"/>
    </sheetView>
  </sheetViews>
  <sheetFormatPr baseColWidth="10" defaultColWidth="11.44140625" defaultRowHeight="14.4" x14ac:dyDescent="0.3"/>
  <cols>
    <col min="1" max="2" width="15.6640625" customWidth="1"/>
    <col min="3" max="3" width="10.6640625" customWidth="1"/>
    <col min="4" max="4" width="25.5546875" customWidth="1"/>
    <col min="5" max="5" width="32" customWidth="1"/>
    <col min="6" max="6" width="12.5546875" customWidth="1"/>
    <col min="7" max="7" width="10.6640625" customWidth="1"/>
    <col min="8" max="8" width="13.5546875" customWidth="1"/>
    <col min="9" max="13" width="11.5546875" customWidth="1"/>
  </cols>
  <sheetData>
    <row r="1" spans="1:15" ht="21.9" customHeight="1" x14ac:dyDescent="0.3">
      <c r="A1" s="74" t="s">
        <v>0</v>
      </c>
      <c r="B1" s="75"/>
      <c r="C1" s="76"/>
      <c r="D1" s="74" t="s">
        <v>1</v>
      </c>
      <c r="E1" s="75"/>
      <c r="F1" s="76"/>
      <c r="G1" s="74" t="s">
        <v>2</v>
      </c>
      <c r="H1" s="75"/>
      <c r="I1" s="75"/>
      <c r="J1" s="75"/>
      <c r="K1" s="76"/>
      <c r="L1" s="74" t="s">
        <v>3</v>
      </c>
      <c r="M1" s="76"/>
    </row>
    <row r="2" spans="1:15" ht="27" customHeight="1" x14ac:dyDescent="0.3">
      <c r="A2" s="77" t="s">
        <v>4</v>
      </c>
      <c r="B2" s="78"/>
      <c r="C2" s="79"/>
      <c r="D2" s="80" t="s">
        <v>23</v>
      </c>
      <c r="E2" s="81"/>
      <c r="F2" s="82"/>
      <c r="G2" s="77" t="s">
        <v>24</v>
      </c>
      <c r="H2" s="78"/>
      <c r="I2" s="78"/>
      <c r="J2" s="78"/>
      <c r="K2" s="79"/>
      <c r="L2" s="83">
        <v>46174</v>
      </c>
      <c r="M2" s="84"/>
    </row>
    <row r="3" spans="1:15" ht="30" customHeight="1" x14ac:dyDescent="0.3">
      <c r="A3" s="74" t="s">
        <v>22</v>
      </c>
      <c r="B3" s="75"/>
      <c r="C3" s="76"/>
      <c r="D3" s="74" t="s">
        <v>21</v>
      </c>
      <c r="E3" s="75"/>
      <c r="F3" s="74" t="s">
        <v>20</v>
      </c>
      <c r="G3" s="75"/>
      <c r="H3" s="75"/>
      <c r="I3" s="75"/>
      <c r="J3" s="75"/>
      <c r="K3" s="76"/>
      <c r="L3" s="74"/>
      <c r="M3" s="76"/>
    </row>
    <row r="4" spans="1:15" ht="21.9" customHeight="1" thickBot="1" x14ac:dyDescent="0.35">
      <c r="A4" s="50" t="s">
        <v>5</v>
      </c>
      <c r="B4" s="51"/>
      <c r="C4" s="51"/>
      <c r="D4" s="52"/>
      <c r="E4" s="8"/>
      <c r="F4" s="56"/>
      <c r="G4" s="56"/>
      <c r="H4" s="3"/>
      <c r="I4" s="57" t="s">
        <v>6</v>
      </c>
      <c r="J4" s="58"/>
      <c r="K4" s="56" t="s">
        <v>7</v>
      </c>
      <c r="L4" s="59"/>
      <c r="M4" s="3" t="s">
        <v>8</v>
      </c>
    </row>
    <row r="5" spans="1:15" ht="31.5" customHeight="1" thickBot="1" x14ac:dyDescent="0.35">
      <c r="A5" s="53"/>
      <c r="B5" s="54"/>
      <c r="C5" s="54"/>
      <c r="D5" s="55"/>
      <c r="E5" s="6" t="s">
        <v>9</v>
      </c>
      <c r="F5" s="9" t="s">
        <v>10</v>
      </c>
      <c r="G5" s="10" t="s">
        <v>11</v>
      </c>
      <c r="H5" s="6" t="s">
        <v>12</v>
      </c>
      <c r="I5" s="5" t="s">
        <v>13</v>
      </c>
      <c r="J5" s="1" t="s">
        <v>14</v>
      </c>
      <c r="K5" s="4" t="s">
        <v>13</v>
      </c>
      <c r="L5" s="2" t="s">
        <v>14</v>
      </c>
      <c r="M5" s="7" t="s">
        <v>14</v>
      </c>
    </row>
    <row r="6" spans="1:15" ht="21.9" customHeight="1" x14ac:dyDescent="0.3">
      <c r="A6" s="60" t="s">
        <v>33</v>
      </c>
      <c r="B6" s="61"/>
      <c r="C6" s="61"/>
      <c r="D6" s="62"/>
      <c r="E6" s="24" t="s">
        <v>35</v>
      </c>
      <c r="F6" s="11">
        <v>2</v>
      </c>
      <c r="G6" s="12">
        <f>F6</f>
        <v>2</v>
      </c>
      <c r="H6" s="13">
        <v>1</v>
      </c>
      <c r="I6" s="21">
        <v>0.39</v>
      </c>
      <c r="J6" s="22">
        <f>I6*1.2</f>
        <v>0.46799999999999997</v>
      </c>
      <c r="K6" s="14">
        <f>I6*H6*G6</f>
        <v>0.78</v>
      </c>
      <c r="L6" s="15">
        <f>J6*H6*G6</f>
        <v>0.93599999999999994</v>
      </c>
      <c r="M6" s="16">
        <f t="shared" ref="M6:M29" si="0">L6</f>
        <v>0.93599999999999994</v>
      </c>
      <c r="O6" s="20" t="s">
        <v>36</v>
      </c>
    </row>
    <row r="7" spans="1:15" ht="21.9" customHeight="1" x14ac:dyDescent="0.3">
      <c r="A7" s="63" t="s">
        <v>88</v>
      </c>
      <c r="B7" s="64"/>
      <c r="C7" s="64"/>
      <c r="D7" s="65"/>
      <c r="E7" s="24" t="s">
        <v>37</v>
      </c>
      <c r="F7" s="17">
        <v>19</v>
      </c>
      <c r="G7" s="12">
        <f t="shared" ref="G7:G29" si="1">F7</f>
        <v>19</v>
      </c>
      <c r="H7" s="13">
        <v>1</v>
      </c>
      <c r="I7" s="21">
        <v>0.22</v>
      </c>
      <c r="J7" s="23">
        <f>1.2*I7</f>
        <v>0.26400000000000001</v>
      </c>
      <c r="K7" s="14">
        <f>I7*H7*G7</f>
        <v>4.18</v>
      </c>
      <c r="L7" s="15">
        <f>J7*H7*G7</f>
        <v>5.016</v>
      </c>
      <c r="M7" s="16">
        <f t="shared" si="0"/>
        <v>5.016</v>
      </c>
      <c r="O7" s="20" t="s">
        <v>34</v>
      </c>
    </row>
    <row r="8" spans="1:15" ht="21.9" customHeight="1" x14ac:dyDescent="0.3">
      <c r="A8" s="36" t="s">
        <v>89</v>
      </c>
      <c r="B8" s="37"/>
      <c r="C8" s="37"/>
      <c r="D8" s="38"/>
      <c r="E8" s="24" t="s">
        <v>38</v>
      </c>
      <c r="F8" s="18">
        <v>13</v>
      </c>
      <c r="G8" s="12">
        <f t="shared" si="1"/>
        <v>13</v>
      </c>
      <c r="H8" s="13">
        <v>1</v>
      </c>
      <c r="I8" s="21">
        <v>0.27</v>
      </c>
      <c r="J8" s="23">
        <f t="shared" ref="J8:J29" si="2">1.2*I8</f>
        <v>0.32400000000000001</v>
      </c>
      <c r="K8" s="14">
        <f t="shared" ref="K8:K28" si="3">I8*H8*G8</f>
        <v>3.5100000000000002</v>
      </c>
      <c r="L8" s="15">
        <f t="shared" ref="L8:L28" si="4">J8*H8*G8</f>
        <v>4.2119999999999997</v>
      </c>
      <c r="M8" s="16">
        <f t="shared" si="0"/>
        <v>4.2119999999999997</v>
      </c>
      <c r="O8" s="20" t="s">
        <v>39</v>
      </c>
    </row>
    <row r="9" spans="1:15" ht="21.9" customHeight="1" x14ac:dyDescent="0.3">
      <c r="A9" s="36" t="s">
        <v>90</v>
      </c>
      <c r="B9" s="37"/>
      <c r="C9" s="37"/>
      <c r="D9" s="38"/>
      <c r="E9" s="24" t="s">
        <v>40</v>
      </c>
      <c r="F9" s="17">
        <v>4</v>
      </c>
      <c r="G9" s="12">
        <f t="shared" si="1"/>
        <v>4</v>
      </c>
      <c r="H9" s="13">
        <v>1</v>
      </c>
      <c r="I9" s="21">
        <v>0.34</v>
      </c>
      <c r="J9" s="23">
        <f t="shared" si="2"/>
        <v>0.40800000000000003</v>
      </c>
      <c r="K9" s="14">
        <f t="shared" si="3"/>
        <v>1.36</v>
      </c>
      <c r="L9" s="15">
        <f t="shared" si="4"/>
        <v>1.6320000000000001</v>
      </c>
      <c r="M9" s="16">
        <f t="shared" si="0"/>
        <v>1.6320000000000001</v>
      </c>
      <c r="O9" s="20" t="s">
        <v>41</v>
      </c>
    </row>
    <row r="10" spans="1:15" ht="21.9" customHeight="1" x14ac:dyDescent="0.3">
      <c r="A10" s="36" t="s">
        <v>91</v>
      </c>
      <c r="B10" s="37"/>
      <c r="C10" s="37"/>
      <c r="D10" s="38"/>
      <c r="E10" s="24" t="s">
        <v>43</v>
      </c>
      <c r="F10" s="19">
        <v>7</v>
      </c>
      <c r="G10" s="12">
        <f t="shared" si="1"/>
        <v>7</v>
      </c>
      <c r="H10" s="13">
        <v>1</v>
      </c>
      <c r="I10" s="21">
        <v>0.19</v>
      </c>
      <c r="J10" s="23">
        <f t="shared" si="2"/>
        <v>0.22799999999999998</v>
      </c>
      <c r="K10" s="14">
        <f t="shared" si="3"/>
        <v>1.33</v>
      </c>
      <c r="L10" s="15">
        <f t="shared" si="4"/>
        <v>1.5959999999999999</v>
      </c>
      <c r="M10" s="16">
        <f t="shared" si="0"/>
        <v>1.5959999999999999</v>
      </c>
      <c r="O10" s="20" t="s">
        <v>42</v>
      </c>
    </row>
    <row r="11" spans="1:15" ht="21.9" customHeight="1" x14ac:dyDescent="0.3">
      <c r="A11" s="36" t="s">
        <v>25</v>
      </c>
      <c r="B11" s="37"/>
      <c r="C11" s="37"/>
      <c r="D11" s="38"/>
      <c r="E11" s="24" t="s">
        <v>44</v>
      </c>
      <c r="F11" s="19">
        <v>4</v>
      </c>
      <c r="G11" s="12">
        <f t="shared" si="1"/>
        <v>4</v>
      </c>
      <c r="H11" s="13">
        <v>1</v>
      </c>
      <c r="I11" s="21">
        <v>0.14000000000000001</v>
      </c>
      <c r="J11" s="23">
        <f t="shared" si="2"/>
        <v>0.16800000000000001</v>
      </c>
      <c r="K11" s="14">
        <f t="shared" si="3"/>
        <v>0.56000000000000005</v>
      </c>
      <c r="L11" s="15">
        <f t="shared" si="4"/>
        <v>0.67200000000000004</v>
      </c>
      <c r="M11" s="16">
        <f t="shared" si="0"/>
        <v>0.67200000000000004</v>
      </c>
      <c r="O11" s="20" t="s">
        <v>45</v>
      </c>
    </row>
    <row r="12" spans="1:15" ht="21.9" customHeight="1" x14ac:dyDescent="0.3">
      <c r="A12" s="36" t="s">
        <v>26</v>
      </c>
      <c r="B12" s="37"/>
      <c r="C12" s="37"/>
      <c r="D12" s="38"/>
      <c r="E12" s="24" t="s">
        <v>86</v>
      </c>
      <c r="F12" s="19">
        <v>4</v>
      </c>
      <c r="G12" s="12">
        <f t="shared" si="1"/>
        <v>4</v>
      </c>
      <c r="H12" s="13">
        <v>1</v>
      </c>
      <c r="I12" s="21">
        <v>1.88</v>
      </c>
      <c r="J12" s="23">
        <f t="shared" si="2"/>
        <v>2.2559999999999998</v>
      </c>
      <c r="K12" s="14">
        <f t="shared" si="3"/>
        <v>7.52</v>
      </c>
      <c r="L12" s="15">
        <f t="shared" si="4"/>
        <v>9.0239999999999991</v>
      </c>
      <c r="M12" s="16">
        <f t="shared" si="0"/>
        <v>9.0239999999999991</v>
      </c>
      <c r="O12" s="20" t="s">
        <v>85</v>
      </c>
    </row>
    <row r="13" spans="1:15" ht="21.9" customHeight="1" x14ac:dyDescent="0.3">
      <c r="A13" s="36" t="s">
        <v>92</v>
      </c>
      <c r="B13" s="37"/>
      <c r="C13" s="37"/>
      <c r="D13" s="38"/>
      <c r="E13" s="24" t="s">
        <v>47</v>
      </c>
      <c r="F13" s="19">
        <v>10</v>
      </c>
      <c r="G13" s="12">
        <f t="shared" si="1"/>
        <v>10</v>
      </c>
      <c r="H13" s="13">
        <v>1</v>
      </c>
      <c r="I13" s="21">
        <v>0.18</v>
      </c>
      <c r="J13" s="23">
        <f t="shared" si="2"/>
        <v>0.216</v>
      </c>
      <c r="K13" s="14">
        <f t="shared" si="3"/>
        <v>1.7999999999999998</v>
      </c>
      <c r="L13" s="15">
        <f t="shared" si="4"/>
        <v>2.16</v>
      </c>
      <c r="M13" s="16">
        <f t="shared" si="0"/>
        <v>2.16</v>
      </c>
      <c r="O13" s="20" t="s">
        <v>46</v>
      </c>
    </row>
    <row r="14" spans="1:15" ht="21.9" customHeight="1" x14ac:dyDescent="0.3">
      <c r="A14" s="36" t="s">
        <v>93</v>
      </c>
      <c r="B14" s="37"/>
      <c r="C14" s="37"/>
      <c r="D14" s="38"/>
      <c r="E14" s="24" t="s">
        <v>48</v>
      </c>
      <c r="F14" s="19">
        <v>1</v>
      </c>
      <c r="G14" s="12">
        <f t="shared" si="1"/>
        <v>1</v>
      </c>
      <c r="H14" s="13">
        <v>1</v>
      </c>
      <c r="I14" s="21">
        <v>0.2</v>
      </c>
      <c r="J14" s="23">
        <f t="shared" si="2"/>
        <v>0.24</v>
      </c>
      <c r="K14" s="14">
        <f t="shared" si="3"/>
        <v>0.2</v>
      </c>
      <c r="L14" s="15">
        <f t="shared" si="4"/>
        <v>0.24</v>
      </c>
      <c r="M14" s="16">
        <f t="shared" si="0"/>
        <v>0.24</v>
      </c>
      <c r="O14" s="20" t="s">
        <v>49</v>
      </c>
    </row>
    <row r="15" spans="1:15" ht="21.9" customHeight="1" x14ac:dyDescent="0.3">
      <c r="A15" s="36" t="s">
        <v>54</v>
      </c>
      <c r="B15" s="37"/>
      <c r="C15" s="37"/>
      <c r="D15" s="38"/>
      <c r="E15" s="24" t="s">
        <v>50</v>
      </c>
      <c r="F15" s="19">
        <v>2</v>
      </c>
      <c r="G15" s="12">
        <f t="shared" si="1"/>
        <v>2</v>
      </c>
      <c r="H15" s="13">
        <v>1</v>
      </c>
      <c r="I15" s="21">
        <v>0.23</v>
      </c>
      <c r="J15" s="23">
        <f t="shared" si="2"/>
        <v>0.27600000000000002</v>
      </c>
      <c r="K15" s="14">
        <f t="shared" si="3"/>
        <v>0.46</v>
      </c>
      <c r="L15" s="15">
        <f t="shared" si="4"/>
        <v>0.55200000000000005</v>
      </c>
      <c r="M15" s="16">
        <f t="shared" si="0"/>
        <v>0.55200000000000005</v>
      </c>
      <c r="O15" s="20" t="s">
        <v>51</v>
      </c>
    </row>
    <row r="16" spans="1:15" ht="21.9" customHeight="1" x14ac:dyDescent="0.3">
      <c r="A16" s="36" t="s">
        <v>53</v>
      </c>
      <c r="B16" s="37"/>
      <c r="C16" s="37"/>
      <c r="D16" s="38"/>
      <c r="E16" s="24" t="s">
        <v>60</v>
      </c>
      <c r="F16" s="19">
        <v>3</v>
      </c>
      <c r="G16" s="12">
        <f t="shared" si="1"/>
        <v>3</v>
      </c>
      <c r="H16" s="13">
        <v>1</v>
      </c>
      <c r="I16" s="21">
        <v>0.08</v>
      </c>
      <c r="J16" s="23">
        <f t="shared" si="2"/>
        <v>9.6000000000000002E-2</v>
      </c>
      <c r="K16" s="14">
        <f t="shared" si="3"/>
        <v>0.24</v>
      </c>
      <c r="L16" s="15">
        <f t="shared" si="4"/>
        <v>0.28800000000000003</v>
      </c>
      <c r="M16" s="16">
        <f t="shared" si="0"/>
        <v>0.28800000000000003</v>
      </c>
      <c r="O16" s="20" t="s">
        <v>59</v>
      </c>
    </row>
    <row r="17" spans="1:15" ht="21.9" customHeight="1" x14ac:dyDescent="0.3">
      <c r="A17" s="36" t="s">
        <v>52</v>
      </c>
      <c r="B17" s="37"/>
      <c r="C17" s="37"/>
      <c r="D17" s="38"/>
      <c r="E17" s="24" t="s">
        <v>57</v>
      </c>
      <c r="F17" s="19">
        <v>6</v>
      </c>
      <c r="G17" s="12">
        <f t="shared" si="1"/>
        <v>6</v>
      </c>
      <c r="H17" s="13">
        <v>1</v>
      </c>
      <c r="I17" s="21">
        <v>0.08</v>
      </c>
      <c r="J17" s="23">
        <f t="shared" si="2"/>
        <v>9.6000000000000002E-2</v>
      </c>
      <c r="K17" s="14">
        <f t="shared" si="3"/>
        <v>0.48</v>
      </c>
      <c r="L17" s="15">
        <f t="shared" si="4"/>
        <v>0.57600000000000007</v>
      </c>
      <c r="M17" s="16">
        <f t="shared" si="0"/>
        <v>0.57600000000000007</v>
      </c>
      <c r="O17" s="20" t="s">
        <v>58</v>
      </c>
    </row>
    <row r="18" spans="1:15" ht="21.9" customHeight="1" x14ac:dyDescent="0.3">
      <c r="A18" s="36" t="s">
        <v>94</v>
      </c>
      <c r="B18" s="37"/>
      <c r="C18" s="37"/>
      <c r="D18" s="38"/>
      <c r="E18" s="24" t="s">
        <v>55</v>
      </c>
      <c r="F18" s="19">
        <v>4</v>
      </c>
      <c r="G18" s="12">
        <f t="shared" si="1"/>
        <v>4</v>
      </c>
      <c r="H18" s="13">
        <v>1</v>
      </c>
      <c r="I18" s="21">
        <v>0.08</v>
      </c>
      <c r="J18" s="23">
        <f t="shared" si="2"/>
        <v>9.6000000000000002E-2</v>
      </c>
      <c r="K18" s="14">
        <f t="shared" si="3"/>
        <v>0.32</v>
      </c>
      <c r="L18" s="15">
        <f t="shared" si="4"/>
        <v>0.38400000000000001</v>
      </c>
      <c r="M18" s="16">
        <f t="shared" si="0"/>
        <v>0.38400000000000001</v>
      </c>
      <c r="O18" s="20" t="s">
        <v>56</v>
      </c>
    </row>
    <row r="19" spans="1:15" ht="21.9" customHeight="1" x14ac:dyDescent="0.3">
      <c r="A19" s="36" t="s">
        <v>95</v>
      </c>
      <c r="B19" s="37"/>
      <c r="C19" s="37"/>
      <c r="D19" s="38"/>
      <c r="E19" s="24" t="s">
        <v>62</v>
      </c>
      <c r="F19" s="19">
        <v>2</v>
      </c>
      <c r="G19" s="12">
        <f t="shared" si="1"/>
        <v>2</v>
      </c>
      <c r="H19" s="13">
        <v>1</v>
      </c>
      <c r="I19" s="21">
        <v>0.08</v>
      </c>
      <c r="J19" s="23">
        <f t="shared" si="2"/>
        <v>9.6000000000000002E-2</v>
      </c>
      <c r="K19" s="14">
        <f t="shared" si="3"/>
        <v>0.16</v>
      </c>
      <c r="L19" s="15">
        <f t="shared" si="4"/>
        <v>0.192</v>
      </c>
      <c r="M19" s="16">
        <f t="shared" si="0"/>
        <v>0.192</v>
      </c>
      <c r="O19" s="20" t="s">
        <v>61</v>
      </c>
    </row>
    <row r="20" spans="1:15" ht="21.9" customHeight="1" x14ac:dyDescent="0.3">
      <c r="A20" s="36" t="s">
        <v>96</v>
      </c>
      <c r="B20" s="37"/>
      <c r="C20" s="37"/>
      <c r="D20" s="38"/>
      <c r="E20" s="24" t="s">
        <v>63</v>
      </c>
      <c r="F20" s="19">
        <v>1</v>
      </c>
      <c r="G20" s="12">
        <f t="shared" si="1"/>
        <v>1</v>
      </c>
      <c r="H20" s="13">
        <v>1</v>
      </c>
      <c r="I20" s="21">
        <v>0.08</v>
      </c>
      <c r="J20" s="23">
        <f t="shared" si="2"/>
        <v>9.6000000000000002E-2</v>
      </c>
      <c r="K20" s="14">
        <f t="shared" si="3"/>
        <v>0.08</v>
      </c>
      <c r="L20" s="15">
        <f t="shared" si="4"/>
        <v>9.6000000000000002E-2</v>
      </c>
      <c r="M20" s="16">
        <f t="shared" si="0"/>
        <v>9.6000000000000002E-2</v>
      </c>
      <c r="O20" s="20" t="s">
        <v>64</v>
      </c>
    </row>
    <row r="21" spans="1:15" ht="21.9" customHeight="1" x14ac:dyDescent="0.3">
      <c r="A21" s="36" t="s">
        <v>87</v>
      </c>
      <c r="B21" s="37"/>
      <c r="C21" s="37"/>
      <c r="D21" s="38"/>
      <c r="E21" s="24" t="s">
        <v>65</v>
      </c>
      <c r="F21" s="19">
        <v>1</v>
      </c>
      <c r="G21" s="12">
        <f t="shared" si="1"/>
        <v>1</v>
      </c>
      <c r="H21" s="13">
        <v>1</v>
      </c>
      <c r="I21" s="21">
        <v>0.18</v>
      </c>
      <c r="J21" s="23">
        <f t="shared" si="2"/>
        <v>0.216</v>
      </c>
      <c r="K21" s="14">
        <f t="shared" si="3"/>
        <v>0.18</v>
      </c>
      <c r="L21" s="15">
        <f t="shared" si="4"/>
        <v>0.216</v>
      </c>
      <c r="M21" s="16">
        <f t="shared" si="0"/>
        <v>0.216</v>
      </c>
      <c r="O21" s="20" t="s">
        <v>66</v>
      </c>
    </row>
    <row r="22" spans="1:15" ht="21.9" customHeight="1" x14ac:dyDescent="0.3">
      <c r="A22" s="36" t="s">
        <v>27</v>
      </c>
      <c r="B22" s="37"/>
      <c r="C22" s="37"/>
      <c r="D22" s="38"/>
      <c r="E22" s="24" t="s">
        <v>67</v>
      </c>
      <c r="F22" s="19">
        <v>1</v>
      </c>
      <c r="G22" s="12">
        <f t="shared" si="1"/>
        <v>1</v>
      </c>
      <c r="H22" s="13">
        <v>1</v>
      </c>
      <c r="I22" s="21">
        <v>31.74</v>
      </c>
      <c r="J22" s="23">
        <f t="shared" si="2"/>
        <v>38.087999999999994</v>
      </c>
      <c r="K22" s="14">
        <f t="shared" si="3"/>
        <v>31.74</v>
      </c>
      <c r="L22" s="15">
        <f t="shared" si="4"/>
        <v>38.087999999999994</v>
      </c>
      <c r="M22" s="16">
        <f t="shared" si="0"/>
        <v>38.087999999999994</v>
      </c>
      <c r="O22" s="20" t="s">
        <v>68</v>
      </c>
    </row>
    <row r="23" spans="1:15" ht="21.9" customHeight="1" x14ac:dyDescent="0.3">
      <c r="A23" s="36" t="s">
        <v>28</v>
      </c>
      <c r="B23" s="37"/>
      <c r="C23" s="37"/>
      <c r="D23" s="38"/>
      <c r="E23" s="24" t="s">
        <v>69</v>
      </c>
      <c r="F23" s="19">
        <v>2</v>
      </c>
      <c r="G23" s="12">
        <f t="shared" si="1"/>
        <v>2</v>
      </c>
      <c r="H23" s="13">
        <v>1</v>
      </c>
      <c r="I23" s="21">
        <v>6.43</v>
      </c>
      <c r="J23" s="23">
        <f t="shared" si="2"/>
        <v>7.7159999999999993</v>
      </c>
      <c r="K23" s="14">
        <f t="shared" si="3"/>
        <v>12.86</v>
      </c>
      <c r="L23" s="15">
        <f t="shared" si="4"/>
        <v>15.431999999999999</v>
      </c>
      <c r="M23" s="16">
        <f t="shared" si="0"/>
        <v>15.431999999999999</v>
      </c>
      <c r="O23" s="20" t="s">
        <v>78</v>
      </c>
    </row>
    <row r="24" spans="1:15" ht="21.9" customHeight="1" x14ac:dyDescent="0.3">
      <c r="A24" s="36" t="s">
        <v>29</v>
      </c>
      <c r="B24" s="37"/>
      <c r="C24" s="37"/>
      <c r="D24" s="38"/>
      <c r="E24" s="24" t="s">
        <v>70</v>
      </c>
      <c r="F24" s="19">
        <v>1</v>
      </c>
      <c r="G24" s="12">
        <f t="shared" si="1"/>
        <v>1</v>
      </c>
      <c r="H24" s="13">
        <v>1</v>
      </c>
      <c r="I24" s="21">
        <v>7.79</v>
      </c>
      <c r="J24" s="23">
        <f t="shared" si="2"/>
        <v>9.347999999999999</v>
      </c>
      <c r="K24" s="14">
        <f t="shared" si="3"/>
        <v>7.79</v>
      </c>
      <c r="L24" s="15">
        <f t="shared" si="4"/>
        <v>9.347999999999999</v>
      </c>
      <c r="M24" s="16">
        <f t="shared" si="0"/>
        <v>9.347999999999999</v>
      </c>
      <c r="O24" s="20" t="s">
        <v>71</v>
      </c>
    </row>
    <row r="25" spans="1:15" ht="21.9" customHeight="1" x14ac:dyDescent="0.3">
      <c r="A25" s="36" t="s">
        <v>31</v>
      </c>
      <c r="B25" s="37"/>
      <c r="C25" s="37"/>
      <c r="D25" s="38"/>
      <c r="E25" s="24" t="s">
        <v>72</v>
      </c>
      <c r="F25" s="19">
        <v>3</v>
      </c>
      <c r="G25" s="12">
        <f t="shared" si="1"/>
        <v>3</v>
      </c>
      <c r="H25" s="13">
        <v>1</v>
      </c>
      <c r="I25" s="21">
        <v>1.5</v>
      </c>
      <c r="J25" s="23">
        <f t="shared" si="2"/>
        <v>1.7999999999999998</v>
      </c>
      <c r="K25" s="14">
        <f t="shared" si="3"/>
        <v>4.5</v>
      </c>
      <c r="L25" s="15">
        <f t="shared" si="4"/>
        <v>5.3999999999999995</v>
      </c>
      <c r="M25" s="16">
        <f t="shared" si="0"/>
        <v>5.3999999999999995</v>
      </c>
      <c r="O25" s="20" t="s">
        <v>73</v>
      </c>
    </row>
    <row r="26" spans="1:15" ht="21.9" customHeight="1" x14ac:dyDescent="0.3">
      <c r="A26" s="36" t="s">
        <v>32</v>
      </c>
      <c r="B26" s="37"/>
      <c r="C26" s="37"/>
      <c r="D26" s="38"/>
      <c r="E26" s="24" t="s">
        <v>74</v>
      </c>
      <c r="F26" s="19">
        <v>1</v>
      </c>
      <c r="G26" s="12">
        <f t="shared" si="1"/>
        <v>1</v>
      </c>
      <c r="H26" s="13">
        <v>1</v>
      </c>
      <c r="I26" s="21">
        <v>0.82</v>
      </c>
      <c r="J26" s="23">
        <f t="shared" si="2"/>
        <v>0.98399999999999987</v>
      </c>
      <c r="K26" s="14">
        <f t="shared" si="3"/>
        <v>0.82</v>
      </c>
      <c r="L26" s="15">
        <f t="shared" si="4"/>
        <v>0.98399999999999987</v>
      </c>
      <c r="M26" s="16">
        <f t="shared" si="0"/>
        <v>0.98399999999999987</v>
      </c>
      <c r="O26" s="20" t="s">
        <v>75</v>
      </c>
    </row>
    <row r="27" spans="1:15" ht="21.9" customHeight="1" x14ac:dyDescent="0.3">
      <c r="A27" s="47" t="s">
        <v>82</v>
      </c>
      <c r="B27" s="48"/>
      <c r="C27" s="48"/>
      <c r="D27" s="49"/>
      <c r="E27" s="24" t="s">
        <v>83</v>
      </c>
      <c r="F27" s="18">
        <v>2</v>
      </c>
      <c r="G27" s="25">
        <f t="shared" si="1"/>
        <v>2</v>
      </c>
      <c r="H27" s="26">
        <v>1</v>
      </c>
      <c r="I27" s="27">
        <v>0.43</v>
      </c>
      <c r="J27" s="28">
        <f t="shared" si="2"/>
        <v>0.51600000000000001</v>
      </c>
      <c r="K27" s="14">
        <f t="shared" si="3"/>
        <v>0.86</v>
      </c>
      <c r="L27" s="15">
        <f t="shared" si="4"/>
        <v>1.032</v>
      </c>
      <c r="M27" s="16">
        <f t="shared" si="0"/>
        <v>1.032</v>
      </c>
      <c r="O27" s="20" t="s">
        <v>84</v>
      </c>
    </row>
    <row r="28" spans="1:15" ht="21.9" customHeight="1" x14ac:dyDescent="0.3">
      <c r="A28" s="47" t="s">
        <v>80</v>
      </c>
      <c r="B28" s="48"/>
      <c r="C28" s="48"/>
      <c r="D28" s="49"/>
      <c r="E28" s="24" t="s">
        <v>79</v>
      </c>
      <c r="F28" s="18">
        <v>1</v>
      </c>
      <c r="G28" s="25">
        <f t="shared" si="1"/>
        <v>1</v>
      </c>
      <c r="H28" s="26">
        <v>1</v>
      </c>
      <c r="I28" s="27">
        <v>1.62</v>
      </c>
      <c r="J28" s="28">
        <f t="shared" si="2"/>
        <v>1.944</v>
      </c>
      <c r="K28" s="14">
        <f t="shared" si="3"/>
        <v>1.62</v>
      </c>
      <c r="L28" s="15">
        <f t="shared" si="4"/>
        <v>1.944</v>
      </c>
      <c r="M28" s="16">
        <f t="shared" si="0"/>
        <v>1.944</v>
      </c>
      <c r="O28" s="20" t="s">
        <v>81</v>
      </c>
    </row>
    <row r="29" spans="1:15" ht="21.9" customHeight="1" thickBot="1" x14ac:dyDescent="0.35">
      <c r="A29" s="36" t="s">
        <v>30</v>
      </c>
      <c r="B29" s="37"/>
      <c r="C29" s="37"/>
      <c r="D29" s="38"/>
      <c r="E29" s="24" t="s">
        <v>76</v>
      </c>
      <c r="F29" s="19">
        <v>1</v>
      </c>
      <c r="G29" s="12">
        <f t="shared" si="1"/>
        <v>1</v>
      </c>
      <c r="H29" s="13">
        <v>1</v>
      </c>
      <c r="I29" s="21">
        <v>11.7</v>
      </c>
      <c r="J29" s="23">
        <f t="shared" si="2"/>
        <v>14.04</v>
      </c>
      <c r="K29" s="14">
        <f>I29*H29*G29</f>
        <v>11.7</v>
      </c>
      <c r="L29" s="15">
        <f>J29*H29*G29</f>
        <v>14.04</v>
      </c>
      <c r="M29" s="16">
        <f t="shared" si="0"/>
        <v>14.04</v>
      </c>
      <c r="O29" s="20" t="s">
        <v>77</v>
      </c>
    </row>
    <row r="30" spans="1:15" ht="21.9" customHeight="1" x14ac:dyDescent="0.3">
      <c r="A30" s="41" t="s">
        <v>15</v>
      </c>
      <c r="B30" s="42"/>
      <c r="C30" s="42"/>
      <c r="D30" s="43"/>
      <c r="E30" s="41" t="s">
        <v>16</v>
      </c>
      <c r="F30" s="42"/>
      <c r="G30" s="42"/>
      <c r="H30" s="43"/>
      <c r="I30" s="70" t="s">
        <v>17</v>
      </c>
      <c r="J30" s="43"/>
      <c r="K30" s="39" t="s">
        <v>18</v>
      </c>
      <c r="L30" s="40"/>
      <c r="M30" s="29">
        <f>SUM(M6:M29)</f>
        <v>114.06</v>
      </c>
    </row>
    <row r="31" spans="1:15" ht="21.9" customHeight="1" x14ac:dyDescent="0.3">
      <c r="A31" s="44"/>
      <c r="B31" s="45"/>
      <c r="C31" s="45"/>
      <c r="D31" s="46"/>
      <c r="E31" s="44"/>
      <c r="F31" s="45"/>
      <c r="G31" s="45"/>
      <c r="H31" s="46"/>
      <c r="I31" s="71"/>
      <c r="J31" s="46"/>
      <c r="K31" s="31" t="s">
        <v>14</v>
      </c>
      <c r="L31" s="32"/>
      <c r="M31" s="30"/>
    </row>
    <row r="32" spans="1:15" ht="21.9" customHeight="1" thickBot="1" x14ac:dyDescent="0.35">
      <c r="A32" s="33" t="s">
        <v>19</v>
      </c>
      <c r="B32" s="34"/>
      <c r="C32" s="34"/>
      <c r="D32" s="35"/>
      <c r="E32" s="33" t="s">
        <v>19</v>
      </c>
      <c r="F32" s="34"/>
      <c r="G32" s="34"/>
      <c r="H32" s="35"/>
      <c r="I32" s="72"/>
      <c r="J32" s="73"/>
      <c r="K32" s="67"/>
      <c r="L32" s="68"/>
      <c r="M32" s="69"/>
    </row>
    <row r="36" spans="11:12" x14ac:dyDescent="0.3">
      <c r="K36" s="66"/>
      <c r="L36" s="66"/>
    </row>
  </sheetData>
  <mergeCells count="51">
    <mergeCell ref="A15:D15"/>
    <mergeCell ref="A16:D16"/>
    <mergeCell ref="A17:D17"/>
    <mergeCell ref="A18:D18"/>
    <mergeCell ref="A19:D19"/>
    <mergeCell ref="K36:L36"/>
    <mergeCell ref="K32:M32"/>
    <mergeCell ref="I30:J30"/>
    <mergeCell ref="I31:J32"/>
    <mergeCell ref="A1:C1"/>
    <mergeCell ref="D1:F1"/>
    <mergeCell ref="G1:K1"/>
    <mergeCell ref="L1:M1"/>
    <mergeCell ref="A2:C2"/>
    <mergeCell ref="D2:F2"/>
    <mergeCell ref="G2:K2"/>
    <mergeCell ref="L2:M2"/>
    <mergeCell ref="A3:C3"/>
    <mergeCell ref="D3:E3"/>
    <mergeCell ref="F3:K3"/>
    <mergeCell ref="L3:M3"/>
    <mergeCell ref="A4:D5"/>
    <mergeCell ref="F4:G4"/>
    <mergeCell ref="I4:J4"/>
    <mergeCell ref="K4:L4"/>
    <mergeCell ref="A22:D22"/>
    <mergeCell ref="A6:D6"/>
    <mergeCell ref="A8:D8"/>
    <mergeCell ref="A9:D9"/>
    <mergeCell ref="A10:D10"/>
    <mergeCell ref="A11:D11"/>
    <mergeCell ref="A12:D12"/>
    <mergeCell ref="A13:D13"/>
    <mergeCell ref="A14:D14"/>
    <mergeCell ref="A21:D21"/>
    <mergeCell ref="A7:D7"/>
    <mergeCell ref="A20:D20"/>
    <mergeCell ref="M30:M31"/>
    <mergeCell ref="K31:L31"/>
    <mergeCell ref="A32:D32"/>
    <mergeCell ref="A23:D23"/>
    <mergeCell ref="A24:D24"/>
    <mergeCell ref="A29:D29"/>
    <mergeCell ref="K30:L30"/>
    <mergeCell ref="A30:D31"/>
    <mergeCell ref="E30:H31"/>
    <mergeCell ref="E32:H32"/>
    <mergeCell ref="A28:D28"/>
    <mergeCell ref="A25:D25"/>
    <mergeCell ref="A26:D26"/>
    <mergeCell ref="A27:D27"/>
  </mergeCells>
  <hyperlinks>
    <hyperlink ref="O7" r:id="rId1" xr:uid="{ED586A59-BFEE-49BE-BB1E-047E5352E271}"/>
    <hyperlink ref="O8" r:id="rId2" xr:uid="{367C86BE-307D-455D-AC91-4C6D24A705EB}"/>
    <hyperlink ref="O9" r:id="rId3" xr:uid="{DD3EB3A0-2BCE-48BB-BFF1-BB357E2DCC70}"/>
    <hyperlink ref="O10" r:id="rId4" xr:uid="{198D1508-FEFF-4EF9-B50A-8FD17DDA6AA0}"/>
    <hyperlink ref="O11" r:id="rId5" xr:uid="{8FBF5E13-14B7-4E74-8313-0F234949D742}"/>
    <hyperlink ref="O13" r:id="rId6" xr:uid="{754E25ED-F85D-4DDD-AFBE-056650571DAB}"/>
    <hyperlink ref="O14" r:id="rId7" xr:uid="{1650046F-E9AE-44C7-8417-79CCDED1DA98}"/>
    <hyperlink ref="O15" r:id="rId8" xr:uid="{AB8BD217-E02A-43B3-8E5F-3B7B9075D346}"/>
    <hyperlink ref="O16" r:id="rId9" xr:uid="{66919FB0-FC7A-4EDB-AAF1-69DD14FE801A}"/>
    <hyperlink ref="O17" r:id="rId10" xr:uid="{E66B212C-0702-4581-8F25-06E954FBF85F}"/>
    <hyperlink ref="O18" r:id="rId11" xr:uid="{634F9450-C7EE-4381-8CDB-0B0100F08300}"/>
    <hyperlink ref="O19" r:id="rId12" xr:uid="{8AD09F14-6BD3-4674-B7A4-7966555F6D9C}"/>
    <hyperlink ref="O20" r:id="rId13" xr:uid="{0FA9C0DA-400B-4C54-83EE-1C1F289FFD37}"/>
    <hyperlink ref="O21" r:id="rId14" xr:uid="{F50CEB5F-75FA-47A0-A433-893F5323A4F2}"/>
    <hyperlink ref="O22" r:id="rId15" xr:uid="{4EDF3955-2040-488A-AD97-A8361955C737}"/>
    <hyperlink ref="O24" r:id="rId16" xr:uid="{5AAD0CB7-0B4D-451B-948B-CF520E287641}"/>
    <hyperlink ref="O23" r:id="rId17" xr:uid="{4EC52342-A4F5-4940-990F-C16F68B6555F}"/>
    <hyperlink ref="O25" r:id="rId18" xr:uid="{1BEF61F6-1485-47BD-B8DD-CB80D53A3A8E}"/>
    <hyperlink ref="O26" r:id="rId19" xr:uid="{6B7F72A7-231D-4B29-BBC3-93EFAEAEAFE3}"/>
    <hyperlink ref="O29" r:id="rId20" xr:uid="{C632BC62-DDCC-4722-8C0A-82BF835F3BAA}"/>
    <hyperlink ref="O28" r:id="rId21" xr:uid="{2B0A17C3-A1E2-4E23-B0AF-AC882A73413D}"/>
    <hyperlink ref="O27" r:id="rId22" xr:uid="{334C8E2F-0044-4D78-A4F7-3E0D1C8E663C}"/>
    <hyperlink ref="O12" r:id="rId23" xr:uid="{A164AAD2-2EE5-4EF9-A42D-58E1C60E5339}"/>
  </hyperlinks>
  <pageMargins left="0.7" right="0.7" top="0.78740157499999996" bottom="0.78740157499999996" header="0.3" footer="0.3"/>
  <pageSetup paperSize="9" scale="61" fitToWidth="0" orientation="landscape" r:id="rId2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657613A57DCA240BF1435E28856B226" ma:contentTypeVersion="3" ma:contentTypeDescription="Ein neues Dokument erstellen." ma:contentTypeScope="" ma:versionID="5f3b321d472801a02a2afe67167e190e">
  <xsd:schema xmlns:xsd="http://www.w3.org/2001/XMLSchema" xmlns:xs="http://www.w3.org/2001/XMLSchema" xmlns:p="http://schemas.microsoft.com/office/2006/metadata/properties" xmlns:ns2="3e560c01-df3e-4afb-8106-115af209489b" targetNamespace="http://schemas.microsoft.com/office/2006/metadata/properties" ma:root="true" ma:fieldsID="42591c0612986ea9ea0f765279989779" ns2:_="">
    <xsd:import namespace="3e560c01-df3e-4afb-8106-115af20948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560c01-df3e-4afb-8106-115af20948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205DF0-D259-4516-A145-B93EFE9EDE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D3667C-8CCA-48C0-B4E3-78D1776152B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81AFE02-87A2-490F-81E5-2F974BD2D5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560c01-df3e-4afb-8106-115af20948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Muster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Jakob</dc:creator>
  <cp:keywords/>
  <dc:description/>
  <cp:lastModifiedBy>Watzek Michael</cp:lastModifiedBy>
  <cp:revision/>
  <cp:lastPrinted>2026-06-02T06:38:13Z</cp:lastPrinted>
  <dcterms:created xsi:type="dcterms:W3CDTF">2011-02-04T16:54:40Z</dcterms:created>
  <dcterms:modified xsi:type="dcterms:W3CDTF">2026-06-02T19:25:55Z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0x0101009657613A57DCA240BF1435E28856B226</vt:lpwstr>
  </property>
</Properties>
</file>